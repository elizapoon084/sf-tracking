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bookViews>
  <sheets>
    <sheet name="運單訊息內容 Order Content" sheetId="3" r:id="rId1"/>
    <sheet name="元素 Info" sheetId="1" r:id="rId2"/>
    <sheet name="例子 Sample" sheetId="8" r:id="rId3"/>
    <sheet name="模板版本 Template Version" sheetId="2" r:id="rId4"/>
  </sheets>
  <definedNames>
    <definedName name="_xlnm._FilterDatabase" localSheetId="0" hidden="1">'運單訊息內容 Order Content'!$O:$O</definedName>
    <definedName name="寄件方城市">'元素 Info'!$A$2:$A$3</definedName>
    <definedName name="寄件方香港地區">'元素 Info'!#REF!</definedName>
    <definedName name="寄件方澳門地區">'元素 Info'!#REF!</definedName>
    <definedName name="_xlnm._FilterDatabase" localSheetId="2" hidden="1">'例子 Sample'!$O:$O</definedName>
  </definedNames>
  <calcPr calcId="144525"/>
</workbook>
</file>

<file path=xl/comments1.xml><?xml version="1.0" encoding="utf-8"?>
<comments xmlns="http://schemas.openxmlformats.org/spreadsheetml/2006/main">
  <authors>
    <author>Administrator</author>
  </authors>
  <commentList>
    <comment ref="W1" authorId="0">
      <text>
        <r>
          <rPr>
            <sz val="11"/>
            <rFont val="微软雅黑"/>
            <charset val="134"/>
          </rPr>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r>
      </text>
    </comment>
    <comment ref="A2" authorId="0">
      <text>
        <r>
          <rPr>
            <sz val="11"/>
            <rFont val="微软雅黑"/>
            <charset val="134"/>
          </rPr>
          <t>1. 非必填，max=30
2. 請勿填寫此前已填寫過的客戶訂單編號。
1. Optional, max=30
2. Please do not fill in an Customer Order I.D. that has already been used before.</t>
        </r>
      </text>
    </comment>
    <comment ref="B2" authorId="0">
      <text>
        <r>
          <rPr>
            <sz val="11"/>
            <rFont val="微软雅黑"/>
            <charset val="134"/>
          </rPr>
          <t>必填，max=30
Required, max=30</t>
        </r>
      </text>
    </comment>
    <comment ref="D2" authorId="0">
      <text>
        <r>
          <rPr>
            <sz val="11"/>
            <rFont val="微软雅黑"/>
            <charset val="134"/>
          </rPr>
          <t>手機號碼和固網電話必須填寫一個。
Must fill in either a mobile number or a fixed number.</t>
        </r>
      </text>
    </comment>
    <comment ref="E2" authorId="0">
      <text>
        <r>
          <rPr>
            <sz val="11"/>
            <rFont val="微软雅黑"/>
            <charset val="134"/>
          </rPr>
          <t>手機號碼和固網電話必須填寫一個。
 Must fill in either a mobile number or a fixed number.</t>
        </r>
      </text>
    </comment>
    <comment ref="F2" authorId="0">
      <text>
        <r>
          <rPr>
            <sz val="11"/>
            <rFont val="微软雅黑"/>
            <charset val="134"/>
          </rPr>
          <t>非必填，max=100
Optional, max=100</t>
        </r>
      </text>
    </comment>
    <comment ref="J2" authorId="0">
      <text>
        <r>
          <rPr>
            <sz val="11"/>
            <rFont val="微软雅黑"/>
            <charset val="134"/>
          </rPr>
          <t>必填，max=150
Required, max=150</t>
        </r>
      </text>
    </comment>
    <comment ref="K2" authorId="0">
      <text>
        <r>
          <rPr>
            <sz val="11"/>
            <rFont val="微软雅黑"/>
            <charset val="134"/>
          </rPr>
          <t>必填，max=30
Required, max=30</t>
        </r>
      </text>
    </comment>
    <comment ref="M2" authorId="0">
      <text>
        <r>
          <rPr>
            <sz val="11"/>
            <rFont val="微软雅黑"/>
            <charset val="134"/>
          </rPr>
          <t>手機號碼和固網電話必須填寫一個。
Must fill in either a mobile number or a fixed number.</t>
        </r>
      </text>
    </comment>
    <comment ref="N2" authorId="0">
      <text>
        <r>
          <rPr>
            <sz val="11"/>
            <rFont val="微软雅黑"/>
            <charset val="134"/>
          </rPr>
          <t>手機號碼和固網電話必須填寫一個。
Must fill in either a mobile number or a fixed number.</t>
        </r>
      </text>
    </comment>
    <comment ref="O2" authorId="0">
      <text>
        <r>
          <rPr>
            <sz val="11"/>
            <rFont val="微软雅黑"/>
            <charset val="134"/>
          </rPr>
          <t>非必填，max=100
Optional, max=100</t>
        </r>
      </text>
    </comment>
    <comment ref="P2" authorId="0">
      <text>
        <r>
          <rPr>
            <sz val="11"/>
            <rFont val="微软雅黑"/>
            <charset val="134"/>
          </rPr>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r>
      </text>
    </comment>
    <comment ref="Q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R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S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T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r>
      </text>
    </comment>
    <comment ref="U2" authorId="0">
      <text>
        <r>
          <rPr>
            <sz val="11"/>
            <rFont val="微软雅黑"/>
            <charset val="134"/>
          </rPr>
          <t>建議填寫「證件類型」以保障快件時效。
Suggest filling in the I.D. Type to secure the transit time.</t>
        </r>
      </text>
    </comment>
    <comment ref="V2" authorId="0">
      <text>
        <r>
          <rPr>
            <sz val="11"/>
            <rFont val="微软雅黑"/>
            <charset val="134"/>
          </rPr>
          <t>1. 建議填寫「證件編號」以保障快件時效。
2. max=30
1. Suggest filling in the I.D. No. to secure the transit time.
2. max=30</t>
        </r>
      </text>
    </comment>
    <comment ref="W2" authorId="0">
      <text>
        <r>
          <rPr>
            <sz val="11"/>
            <rFont val="微软雅黑"/>
            <charset val="134"/>
          </rPr>
          <t>1. 必填，max=30
2. 分為檔案和物品，如果您郵寄的是物品，需要填寫具體的物品名稱，例如衣服，食物等。
1. Required, max=30
2. Consignment：Either documents or items. If you are sending items, specific item names must be filled in, such as clothes, food, etc.</t>
        </r>
      </text>
    </comment>
    <comment ref="X2" authorId="0">
      <text>
        <r>
          <rPr>
            <sz val="11"/>
            <rFont val="微软雅黑"/>
            <charset val="134"/>
          </rPr>
          <t>必填，數值範圍：0.01 - 9999.99
Required, value range: 0.01 - 9999.99</t>
        </r>
      </text>
    </comment>
    <comment ref="Y2" authorId="0">
      <text>
        <r>
          <rPr>
            <sz val="11"/>
            <rFont val="微软雅黑"/>
            <charset val="134"/>
          </rPr>
          <t>1. 非香港本地收件必須。
2. 數值範圍：0.01 - 99999.99
1. Must fill in for non-domestic shipments.
2. Value range: 0.01 - 99999.99</t>
        </r>
      </text>
    </comment>
    <comment ref="Z2" authorId="0">
      <text>
        <r>
          <rPr>
            <sz val="11"/>
            <rFont val="微软雅黑"/>
            <charset val="134"/>
          </rPr>
          <t>非香港本地收件必須。
Must fill in for non-domestic shipments.</t>
        </r>
      </text>
    </comment>
    <comment ref="AA2" authorId="0">
      <text>
        <r>
          <rPr>
            <sz val="11"/>
            <rFont val="微软雅黑"/>
            <charset val="134"/>
          </rPr>
          <t>1. 非香港本地收件必須。
2. 數值範圍：0 - 1000000
1. Must fill in for non-domestic shipments.
2. Value range: 0 - 1000000</t>
        </r>
      </text>
    </comment>
    <comment ref="AB2" authorId="0">
      <text>
        <r>
          <rPr>
            <sz val="11"/>
            <rFont val="微软雅黑"/>
            <charset val="134"/>
          </rPr>
          <t>非香港本地收件必須。
Must fill in for non-domestic shipments.</t>
        </r>
      </text>
    </comment>
    <comment ref="AC2" authorId="0">
      <text>
        <r>
          <rPr>
            <sz val="11"/>
            <rFont val="微软雅黑"/>
            <charset val="134"/>
          </rPr>
          <t>非香港本地收件必須。
Must fill in for non-domestic shipments.</t>
        </r>
      </text>
    </comment>
    <comment ref="AD2" authorId="0">
      <text>
        <r>
          <rPr>
            <sz val="11"/>
            <rFont val="微软雅黑"/>
            <charset val="134"/>
          </rPr>
          <t>必填，數值範圍：0.01 -  9999.99
Required, value range: 0.01 -  9999.99</t>
        </r>
      </text>
    </comment>
    <comment ref="AE2" authorId="0">
      <text>
        <r>
          <rPr>
            <sz val="11"/>
            <rFont val="微软雅黑"/>
            <charset val="134"/>
          </rPr>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r>
      </text>
    </comment>
    <comment ref="AF2" authorId="0">
      <text>
        <r>
          <rPr>
            <sz val="11"/>
            <rFont val="微软雅黑"/>
            <charset val="134"/>
          </rPr>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r>
      </text>
    </comment>
    <comment ref="AI2" authorId="0">
      <text>
        <r>
          <rPr>
            <sz val="11"/>
            <rFont val="微软雅黑"/>
            <charset val="134"/>
          </rPr>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J2" authorId="0">
      <text>
        <r>
          <rPr>
            <sz val="11"/>
            <rFont val="微软雅黑"/>
            <charset val="134"/>
          </rPr>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K2" authorId="0">
      <text>
        <r>
          <rPr>
            <sz val="11"/>
            <rFont val="微软雅黑"/>
            <charset val="134"/>
          </rPr>
          <t>填寫當前至未來3日內的日期。
Fill in the dates from the current day to within the next three days.</t>
        </r>
      </text>
    </comment>
    <comment ref="AM2" authorId="0">
      <text>
        <r>
          <rPr>
            <sz val="11"/>
            <rFont val="微软雅黑"/>
            <charset val="134"/>
          </rPr>
          <t>非必填，max=50
Optional, max=50</t>
        </r>
      </text>
    </comment>
    <comment ref="AO2" authorId="0">
      <text>
        <r>
          <rPr>
            <sz val="11"/>
            <rFont val="微软雅黑"/>
            <charset val="134"/>
          </rPr>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r>
      </text>
    </comment>
    <comment ref="AP2" authorId="0">
      <text>
        <r>
          <rPr>
            <sz val="11"/>
            <rFont val="微软雅黑"/>
            <charset val="134"/>
          </rPr>
          <t xml:space="preserve">1. 如果簽單返還類型選擇「其他文件」，則必須填寫「PoD 備註」
2. max=20 
1.  If "Other documents" is selected for the target PoD type, user must fill-in "PoD - Remark".
2. max=20 </t>
        </r>
      </text>
    </comment>
    <comment ref="AQ2" authorId="0">
      <text>
        <r>
          <rPr>
            <sz val="11"/>
            <rFont val="微软雅黑"/>
            <charset val="134"/>
          </rPr>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r>
      </text>
    </comment>
    <comment ref="AR2" authorId="0">
      <text>
        <r>
          <rPr>
            <sz val="11"/>
            <rFont val="微软雅黑"/>
            <charset val="134"/>
          </rPr>
          <t>1. 如果使用增值服務 - CoD 代收貨款，請填寫需要為您代收的金額。
2. 數值範圍：0.1 - 1000000
1. When the V.A.S - Cash on Delivery is selected, user shall fill in the cash amount targeted to collect.
2.Value range: 0.1 - 1000000</t>
        </r>
      </text>
    </comment>
    <comment ref="AS2" authorId="0">
      <text>
        <r>
          <rPr>
            <sz val="11"/>
            <rFont val="微软雅黑"/>
            <charset val="134"/>
          </rPr>
          <t>如果使用增值服務 - CoD 代收貨款，請填寫已開通此服務的月結號。
When the V.A.S - Cash on Delivery is selected, user shall fill in the correct credit account number.</t>
        </r>
      </text>
    </comment>
    <comment ref="AT2" authorId="0">
      <text>
        <r>
          <rPr>
            <sz val="11"/>
            <rFont val="微软雅黑"/>
            <charset val="134"/>
          </rPr>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r>
      </text>
    </comment>
    <comment ref="AU2" authorId="0">
      <text>
        <r>
          <rPr>
            <sz val="11"/>
            <rFont val="微软雅黑"/>
            <charset val="134"/>
          </rPr>
          <t>如果使用增值服務 - 送貨上樓（需行樓梯），請填寫行樓梯層數。
When the V.A.S - Upstairs Delivery (climb stairs required) is selected, user shall fill in the floor level.</t>
        </r>
      </text>
    </comment>
    <comment ref="AV2" authorId="0">
      <text>
        <r>
          <rPr>
            <sz val="11"/>
            <rFont val="微软雅黑"/>
            <charset val="134"/>
          </rPr>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r>
      </text>
    </comment>
    <comment ref="AW2" authorId="0">
      <text>
        <r>
          <rPr>
            <sz val="11"/>
            <rFont val="微软雅黑"/>
            <charset val="134"/>
          </rPr>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r>
      </text>
    </comment>
    <comment ref="AX2" authorId="0">
      <text>
        <r>
          <rPr>
            <sz val="11"/>
            <rFont val="微软雅黑"/>
            <charset val="134"/>
          </rPr>
          <t>如果需要賀卡，則必須填寫「心意送 - 賀卡署名」。
If user need a greeting e-card, user must fill-in "Surprise Delivery - Signature".</t>
        </r>
      </text>
    </comment>
    <comment ref="AY2" authorId="0">
      <text>
        <r>
          <rPr>
            <sz val="11"/>
            <rFont val="微软雅黑"/>
            <charset val="134"/>
          </rPr>
          <t>只有使用增值服務 - 心意送，或指定月結號才可以使用增值服務 - 定時派送（指定時段）。
The Fixed Time Delivery (Appointed Time) service may only be utilized in conjunction with the Surprise Delivery service or by using a designated credit account.</t>
        </r>
      </text>
    </comment>
    <comment ref="AZ2" authorId="0">
      <text>
        <r>
          <rPr>
            <sz val="11"/>
            <rFont val="微软雅黑"/>
            <charset val="134"/>
          </rPr>
          <t>只有使用增值服務 - 心意送，或指定月結號才可以使用增值服務 - 定時派送（指定時段）。
The Fixed Time Delivery (Appointed Time) service may only be utilized in conjunction with the Surprise Delivery service or by using a designated credit account.</t>
        </r>
      </text>
    </comment>
    <comment ref="BA2" authorId="0">
      <text>
        <r>
          <rPr>
            <sz val="11"/>
            <rFont val="微软雅黑"/>
            <charset val="134"/>
          </rPr>
          <t>只有指定月結號才可以設置收件校驗碼。
Only designated monthly statement accounts can set up recipient verification codes.</t>
        </r>
      </text>
    </comment>
  </commentList>
</comments>
</file>

<file path=xl/comments2.xml><?xml version="1.0" encoding="utf-8"?>
<comments xmlns="http://schemas.openxmlformats.org/spreadsheetml/2006/main">
  <authors>
    <author>Administrator</author>
  </authors>
  <commentList>
    <comment ref="W1" authorId="0">
      <text>
        <r>
          <rPr>
            <sz val="11"/>
            <rFont val="微软雅黑"/>
            <charset val="134"/>
          </rPr>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r>
      </text>
    </comment>
    <comment ref="A2" authorId="0">
      <text>
        <r>
          <rPr>
            <sz val="11"/>
            <rFont val="微软雅黑"/>
            <charset val="134"/>
          </rPr>
          <t>1. 非必填，max=30
2. 請勿填寫此前已填寫過的客戶訂單編號。
1. Optional, max=30
2. Please do not fill in an Customer Order I.D. that has already been used before.</t>
        </r>
      </text>
    </comment>
    <comment ref="B2" authorId="0">
      <text>
        <r>
          <rPr>
            <sz val="11"/>
            <rFont val="微软雅黑"/>
            <charset val="134"/>
          </rPr>
          <t>必填，max=30
Required, max=30</t>
        </r>
      </text>
    </comment>
    <comment ref="D2" authorId="0">
      <text>
        <r>
          <rPr>
            <sz val="11"/>
            <rFont val="微软雅黑"/>
            <charset val="134"/>
          </rPr>
          <t>手機號碼和固網電話必須填寫一個。
Must fill in either a mobile number or a fixed number.</t>
        </r>
      </text>
    </comment>
    <comment ref="E2" authorId="0">
      <text>
        <r>
          <rPr>
            <sz val="11"/>
            <rFont val="微软雅黑"/>
            <charset val="134"/>
          </rPr>
          <t>手機號碼和固網電話必須填寫一個。
 Must fill in either a mobile number or a fixed number.</t>
        </r>
      </text>
    </comment>
    <comment ref="F2" authorId="0">
      <text>
        <r>
          <rPr>
            <sz val="11"/>
            <rFont val="微软雅黑"/>
            <charset val="134"/>
          </rPr>
          <t>非必填，max=100
Optional, max=100</t>
        </r>
      </text>
    </comment>
    <comment ref="J2" authorId="0">
      <text>
        <r>
          <rPr>
            <sz val="11"/>
            <rFont val="微软雅黑"/>
            <charset val="134"/>
          </rPr>
          <t>必填，max=150
Required, max=150</t>
        </r>
      </text>
    </comment>
    <comment ref="K2" authorId="0">
      <text>
        <r>
          <rPr>
            <sz val="11"/>
            <rFont val="微软雅黑"/>
            <charset val="134"/>
          </rPr>
          <t>必填，max=30
Required, max=30</t>
        </r>
      </text>
    </comment>
    <comment ref="M2" authorId="0">
      <text>
        <r>
          <rPr>
            <sz val="11"/>
            <rFont val="微软雅黑"/>
            <charset val="134"/>
          </rPr>
          <t>手機號碼和固網電話必須填寫一個。
Must fill in either a mobile number or a fixed number.</t>
        </r>
      </text>
    </comment>
    <comment ref="N2" authorId="0">
      <text>
        <r>
          <rPr>
            <sz val="11"/>
            <rFont val="微软雅黑"/>
            <charset val="134"/>
          </rPr>
          <t>手機號碼和固網電話必須填寫一個。
Must fill in either a mobile number or a fixed number.</t>
        </r>
      </text>
    </comment>
    <comment ref="O2" authorId="0">
      <text>
        <r>
          <rPr>
            <sz val="11"/>
            <rFont val="微软雅黑"/>
            <charset val="134"/>
          </rPr>
          <t>非必填，max=100
Optional, max=100</t>
        </r>
      </text>
    </comment>
    <comment ref="P2" authorId="0">
      <text>
        <r>
          <rPr>
            <sz val="11"/>
            <rFont val="微软雅黑"/>
            <charset val="134"/>
          </rPr>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r>
      </text>
    </comment>
    <comment ref="Q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R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S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r>
      </text>
    </comment>
    <comment ref="T2" authorId="0">
      <text>
        <r>
          <rPr>
            <sz val="11"/>
            <rFont val="微软雅黑"/>
            <charset val="134"/>
          </rPr>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r>
      </text>
    </comment>
    <comment ref="U2" authorId="0">
      <text>
        <r>
          <rPr>
            <sz val="11"/>
            <rFont val="微软雅黑"/>
            <charset val="134"/>
          </rPr>
          <t>建議填寫「證件類型」以保障快件時效。
Suggest filling in the I.D. Type to secure the transit time.</t>
        </r>
      </text>
    </comment>
    <comment ref="V2" authorId="0">
      <text>
        <r>
          <rPr>
            <sz val="11"/>
            <rFont val="微软雅黑"/>
            <charset val="134"/>
          </rPr>
          <t>1. 建議填寫「證件編號」以保障快件時效。
2. max=30
1. Suggest filling in the I.D. No. to secure the transit time.
2. max=30</t>
        </r>
      </text>
    </comment>
    <comment ref="W2" authorId="0">
      <text>
        <r>
          <rPr>
            <sz val="11"/>
            <rFont val="微软雅黑"/>
            <charset val="134"/>
          </rPr>
          <t>1. 必填，max=30
2. 分為檔案和物品，如果您郵寄的是物品，需要填寫具體的物品名稱，例如衣服，食物等。
1. Required, max=30
2. Consignment：Either documents or items. If you are sending items, specific item names must be filled in, such as clothes, food, etc.</t>
        </r>
      </text>
    </comment>
    <comment ref="X2" authorId="0">
      <text>
        <r>
          <rPr>
            <sz val="11"/>
            <rFont val="微软雅黑"/>
            <charset val="134"/>
          </rPr>
          <t>必填，數值範圍：0.01 - 9999.99
Required, value range: 0.01 - 9999.99</t>
        </r>
      </text>
    </comment>
    <comment ref="Y2" authorId="0">
      <text>
        <r>
          <rPr>
            <sz val="11"/>
            <rFont val="微软雅黑"/>
            <charset val="134"/>
          </rPr>
          <t>1. 非香港本地收件必須。
2. 數值範圍：0.01 - 99999.99
1. Must fill in for non-domestic shipments.
2. Value range: 0.01 - 99999.99</t>
        </r>
      </text>
    </comment>
    <comment ref="Z2" authorId="0">
      <text>
        <r>
          <rPr>
            <sz val="11"/>
            <rFont val="微软雅黑"/>
            <charset val="134"/>
          </rPr>
          <t>非香港本地收件必須。
Must fill in for non-domestic shipments.</t>
        </r>
      </text>
    </comment>
    <comment ref="AA2" authorId="0">
      <text>
        <r>
          <rPr>
            <sz val="11"/>
            <rFont val="微软雅黑"/>
            <charset val="134"/>
          </rPr>
          <t>1. 非香港本地收件必須。
2. 數值範圍：0 - 1000000
1. Must fill in for non-domestic shipments.
2. Value range: 0 - 1000000</t>
        </r>
      </text>
    </comment>
    <comment ref="AB2" authorId="0">
      <text>
        <r>
          <rPr>
            <sz val="11"/>
            <rFont val="微软雅黑"/>
            <charset val="134"/>
          </rPr>
          <t>非香港本地收件必須。
Must fill in for non-domestic shipments.</t>
        </r>
      </text>
    </comment>
    <comment ref="AC2" authorId="0">
      <text>
        <r>
          <rPr>
            <sz val="11"/>
            <rFont val="微软雅黑"/>
            <charset val="134"/>
          </rPr>
          <t>非香港本地收件必須。
Must fill in for non-domestic shipments.</t>
        </r>
      </text>
    </comment>
    <comment ref="AD2" authorId="0">
      <text>
        <r>
          <rPr>
            <sz val="11"/>
            <rFont val="微软雅黑"/>
            <charset val="134"/>
          </rPr>
          <t>必填，數值範圍：0.01 -  9999.99
Required, value range: 0.01 -  9999.99</t>
        </r>
      </text>
    </comment>
    <comment ref="AE2" authorId="0">
      <text>
        <r>
          <rPr>
            <sz val="11"/>
            <rFont val="微软雅黑"/>
            <charset val="134"/>
          </rPr>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r>
      </text>
    </comment>
    <comment ref="AF2" authorId="0">
      <text>
        <r>
          <rPr>
            <sz val="11"/>
            <rFont val="微软雅黑"/>
            <charset val="134"/>
          </rPr>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r>
      </text>
    </comment>
    <comment ref="AI2" authorId="0">
      <text>
        <r>
          <rPr>
            <sz val="11"/>
            <rFont val="微软雅黑"/>
            <charset val="134"/>
          </rPr>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J2" authorId="0">
      <text>
        <r>
          <rPr>
            <sz val="11"/>
            <rFont val="微软雅黑"/>
            <charset val="134"/>
          </rPr>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r>
      </text>
    </comment>
    <comment ref="AK2" authorId="0">
      <text>
        <r>
          <rPr>
            <sz val="11"/>
            <rFont val="微软雅黑"/>
            <charset val="134"/>
          </rPr>
          <t>填寫當前至未來3日內的日期。
Fill in the dates from the current day to within the next three days.</t>
        </r>
      </text>
    </comment>
    <comment ref="AM2" authorId="0">
      <text>
        <r>
          <rPr>
            <sz val="11"/>
            <rFont val="微软雅黑"/>
            <charset val="134"/>
          </rPr>
          <t>非必填，max=50
Optional, max=50</t>
        </r>
      </text>
    </comment>
    <comment ref="AO2" authorId="0">
      <text>
        <r>
          <rPr>
            <sz val="11"/>
            <rFont val="微软雅黑"/>
            <charset val="134"/>
          </rPr>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r>
        <r>
          <rPr>
            <sz val="9"/>
            <rFont val="宋体"/>
            <charset val="134"/>
          </rPr>
          <t xml:space="preserve">
</t>
        </r>
      </text>
    </comment>
    <comment ref="AP2" authorId="0">
      <text>
        <r>
          <rPr>
            <sz val="11"/>
            <rFont val="微软雅黑"/>
            <charset val="134"/>
          </rPr>
          <t xml:space="preserve">1. 如果簽單返還類型選擇「其他文件」，則必須填寫「PoD 備註」
2. max=20 
1.  If "Other documents" is selected for the target PoD type, user must fill-in "PoD - Remark".
2. max=20 </t>
        </r>
      </text>
    </comment>
    <comment ref="AQ2" authorId="0">
      <text>
        <r>
          <rPr>
            <sz val="11"/>
            <rFont val="微软雅黑"/>
            <charset val="134"/>
          </rPr>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r>
      </text>
    </comment>
    <comment ref="AR2" authorId="0">
      <text>
        <r>
          <rPr>
            <sz val="11"/>
            <rFont val="微软雅黑"/>
            <charset val="134"/>
          </rPr>
          <t>1. 如果使用增值服務 - CoD 代收貨款，請填寫需要為您代收的金額。
2. 數值範圍：0.1 - 1000000
1. When the V.A.S - Cash on Delivery is selected, user shall fill in the cash amount targeted to collect.
2.Value range: 0.1 - 1000000</t>
        </r>
      </text>
    </comment>
    <comment ref="AS2" authorId="0">
      <text>
        <r>
          <rPr>
            <sz val="11"/>
            <rFont val="微软雅黑"/>
            <charset val="134"/>
          </rPr>
          <t>如果使用增值服務 - CoD 代收貨款，請填寫已開通此服務的月結號。
When the V.A.S - Cash on Delivery is selected, user shall fill in the correct credit account number.</t>
        </r>
      </text>
    </comment>
    <comment ref="AT2" authorId="0">
      <text>
        <r>
          <rPr>
            <sz val="11"/>
            <rFont val="微软雅黑"/>
            <charset val="134"/>
          </rPr>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r>
      </text>
    </comment>
    <comment ref="AU2" authorId="0">
      <text>
        <r>
          <rPr>
            <sz val="11"/>
            <rFont val="微软雅黑"/>
            <charset val="134"/>
          </rPr>
          <t>如果使用增值服務 - 送貨上樓（需行樓梯），請填寫行樓梯層數。
When the V.A.S - Upstairs Delivery (climb stairs required) is selected, user shall fill in the floor level.</t>
        </r>
      </text>
    </comment>
    <comment ref="AV2" authorId="0">
      <text>
        <r>
          <rPr>
            <sz val="11"/>
            <rFont val="微软雅黑"/>
            <charset val="134"/>
          </rPr>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r>
      </text>
    </comment>
    <comment ref="AW2" authorId="0">
      <text>
        <r>
          <rPr>
            <sz val="11"/>
            <rFont val="微软雅黑"/>
            <charset val="134"/>
          </rPr>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r>
      </text>
    </comment>
    <comment ref="AX2" authorId="0">
      <text>
        <r>
          <rPr>
            <sz val="11"/>
            <rFont val="微软雅黑"/>
            <charset val="134"/>
          </rPr>
          <t>如果需要賀卡，則必須填寫「心意送 - 賀卡署名」。
If user need a greeting e-card, user must fill-in "Surprise Delivery - Signature".</t>
        </r>
      </text>
    </comment>
    <comment ref="AY2" authorId="0">
      <text>
        <r>
          <rPr>
            <sz val="11"/>
            <rFont val="微软雅黑"/>
            <charset val="134"/>
          </rPr>
          <t>只有使用增值服務 - 心意送，或指定月結號才可以使用增值服務 - 定時派送（指定時段）。
The Fixed Time Delivery (Appointed Time) service may only be utilized in conjunction with the Surprise Delivery service or by using a designated credit account.</t>
        </r>
      </text>
    </comment>
    <comment ref="AZ2" authorId="0">
      <text>
        <r>
          <rPr>
            <sz val="11"/>
            <rFont val="微软雅黑"/>
            <charset val="134"/>
          </rPr>
          <t>只有使用增值服務 - 心意送，或指定月結號才可以使用增值服務 - 定時派送（指定時段）。
The Fixed Time Delivery (Appointed Time) service may only be utilized in conjunction with the Surprise Delivery service or by using a designated credit account.</t>
        </r>
      </text>
    </comment>
    <comment ref="BA2" authorId="0">
      <text>
        <r>
          <rPr>
            <sz val="11"/>
            <rFont val="微软雅黑"/>
            <charset val="134"/>
          </rPr>
          <t>只有指定月結號才可以設置收件校驗碼。
Only designated monthly statement accounts can set up recipient verification codes.</t>
        </r>
      </text>
    </comment>
  </commentList>
</comments>
</file>

<file path=xl/sharedStrings.xml><?xml version="1.0" encoding="utf-8"?>
<sst xmlns="http://schemas.openxmlformats.org/spreadsheetml/2006/main" count="562" uniqueCount="440">
  <si>
    <t>寄件方信息
Sender Information</t>
  </si>
  <si>
    <t>收件方信息
Receiver Information</t>
  </si>
  <si>
    <t>托寄物信息
Consignment Information</t>
  </si>
  <si>
    <t>包裹信息
Parcel Information</t>
  </si>
  <si>
    <t>產品信息
Product Information</t>
  </si>
  <si>
    <t>付款方式
Payment Method</t>
  </si>
  <si>
    <t>預約上門收件
Expected Parcel Pick-up</t>
  </si>
  <si>
    <t>增值服務
V.A.S.</t>
  </si>
  <si>
    <t>客戶訂單編號
Customer Order I.D.</t>
  </si>
  <si>
    <t>* 姓名
Full Name</t>
  </si>
  <si>
    <t>* 電話區號
Area Code</t>
  </si>
  <si>
    <t>手機號碼
Mobile No.</t>
  </si>
  <si>
    <t>固網號碼
Fixed No.</t>
  </si>
  <si>
    <t>公司名稱
Company</t>
  </si>
  <si>
    <t>* 城市
City</t>
  </si>
  <si>
    <t>* 地區
District</t>
  </si>
  <si>
    <t>* 區域
Area</t>
  </si>
  <si>
    <t>* 詳細地址
Detail Address</t>
  </si>
  <si>
    <t>自取點編號
Self Pick-up Point</t>
  </si>
  <si>
    <t>省份 / 城市
Province / City</t>
  </si>
  <si>
    <t>市 / 縣 / 地區
City / County / District</t>
  </si>
  <si>
    <t>區 / 區域
District / Area</t>
  </si>
  <si>
    <t>詳細地址
Detail Address</t>
  </si>
  <si>
    <t>證件類型
I.D. Type</t>
  </si>
  <si>
    <t>證件號碼
I.D. No.</t>
  </si>
  <si>
    <t>* 物品名稱 / 類型
Item Name</t>
  </si>
  <si>
    <t>* 重量（KG）
Weight (KG)</t>
  </si>
  <si>
    <t>數量
Quantity</t>
  </si>
  <si>
    <t>單位
Unit</t>
  </si>
  <si>
    <t>物品單價
Value</t>
  </si>
  <si>
    <t>幣種
Currency</t>
  </si>
  <si>
    <t>原產地
Origin</t>
  </si>
  <si>
    <t>* 包裹總重量（KG）
Total Weight (KG)</t>
  </si>
  <si>
    <t>* 包裹數量（子母件數量）
Parcel Quantity (num. of multi-piece shipments)</t>
  </si>
  <si>
    <t>包裹備註
Parcel Notes</t>
  </si>
  <si>
    <t>* 產品類型
Product Type</t>
  </si>
  <si>
    <t>* 付款方式
Payment Method</t>
  </si>
  <si>
    <t>稅金付款方式
Duties and Taxes</t>
  </si>
  <si>
    <t xml:space="preserve">稅金付款帳號
Bill Account for Duties and Taxes </t>
  </si>
  <si>
    <t>日期（年-月-日）
Date (YYYY-MM-DD)</t>
  </si>
  <si>
    <t>時間（時:分）
Time (HH:MM)</t>
  </si>
  <si>
    <t>備註
Remark</t>
  </si>
  <si>
    <t>保價-物品價值（HKD）
Insurance（HKD）</t>
  </si>
  <si>
    <t>PoD 簽單返還
PoD</t>
  </si>
  <si>
    <t>PoD 備註
PoD - Remark</t>
  </si>
  <si>
    <t>密碼認證
Secret Key</t>
  </si>
  <si>
    <t>CoD 代收貨款
CoD - Amount</t>
  </si>
  <si>
    <t>CoD 代收貨款 - 月結號
CoD - Credit A/C No.</t>
  </si>
  <si>
    <t>送貨方式
Delivery method</t>
  </si>
  <si>
    <t>送貨上樓 - 行樓梯層數
Upstairs Delivery - Floor level</t>
  </si>
  <si>
    <t>心意送 - 賀卡
Surprise Delivery - Greeting e-cards</t>
  </si>
  <si>
    <t>心意送 - 賀卡祝福語
Surprise Delivery - Greeting message</t>
  </si>
  <si>
    <t>心意送 - 賀卡署名
Surprise Delivery - Signature</t>
  </si>
  <si>
    <t>定時派送 - 日期（年-月-日）
Fixed Time Delivery - Date (YYYY-MM-DD)</t>
  </si>
  <si>
    <t>定時派送 - 時間（時:分）
Fixed Time Delivery - Time (HH:MM)</t>
  </si>
  <si>
    <t>收件校驗碼
Recipient Verification Code</t>
  </si>
  <si>
    <t>寄件方 - 城市
Sender - City</t>
  </si>
  <si>
    <t>寄件方 - 電話區號
Sender - Area Code</t>
  </si>
  <si>
    <t>收件方 - 電話區號
Receiver - Area Code</t>
  </si>
  <si>
    <t>證件類型
Receiver - I.D. Type</t>
  </si>
  <si>
    <t>托寄物 - 單位
Unit</t>
  </si>
  <si>
    <t>托寄物 - 幣種
Currency</t>
  </si>
  <si>
    <t>托寄物 - 原產地
Origin</t>
  </si>
  <si>
    <t>產品
Product</t>
  </si>
  <si>
    <t>稅金付款方式
Bill Account for Duties and Taxes</t>
  </si>
  <si>
    <t>增值服務 - 密碼認證
V.A.S. - Secret Key</t>
  </si>
  <si>
    <t>預約上門收件日期
Expected Parcel Pick-up Date</t>
  </si>
  <si>
    <t>增值服務 - 送貨方式
V.A.S. - Delivery method</t>
  </si>
  <si>
    <t>增值服務 - 心意送 - 賀卡+賀卡祝福語
V.A.S. - Surprise Delivery - Greeting e-cards &amp;  Greeting message</t>
  </si>
  <si>
    <t>增值服務 - 心意送 - 賀卡署名
V.A.S. - Surprise Delivery - Signature</t>
  </si>
  <si>
    <t>香港/Hong Kong</t>
  </si>
  <si>
    <t>台灣身份證/Taiwan I.D. Card</t>
  </si>
  <si>
    <t>件/piece</t>
  </si>
  <si>
    <t>港元/HKD</t>
  </si>
  <si>
    <t>阿爾巴尼亞/Albania</t>
  </si>
  <si>
    <t>寄付月結/Pay by Sender (Credit Account)</t>
  </si>
  <si>
    <t>順豐特快/SF Speedy Express</t>
  </si>
  <si>
    <t>需要/Need</t>
  </si>
  <si>
    <t>自提點/樓下自取/Self-pickup/Ground floor pickup</t>
  </si>
  <si>
    <t>繁體點擊此查看</t>
  </si>
  <si>
    <t>無樣式/No style_1</t>
  </si>
  <si>
    <t>澳門/Macau</t>
  </si>
  <si>
    <t>台灣居留證/Taiwan Resident Certificate</t>
  </si>
  <si>
    <t>套/set</t>
  </si>
  <si>
    <t>澳門元/MOP</t>
  </si>
  <si>
    <t>阿爾及利亞/Algeria</t>
  </si>
  <si>
    <t>寄付現結/Pay by Sender</t>
  </si>
  <si>
    <t>順豐特快﹙文件﹚/SF Speedy Express (Document)</t>
  </si>
  <si>
    <t>送貨上樓（無需行樓梯）/Upstairs Delivery (no climb stairs required)</t>
  </si>
  <si>
    <t>Click here for English</t>
  </si>
  <si>
    <t>心形樣式/Heart-shaped style_2</t>
  </si>
  <si>
    <t>護照/Passport Number</t>
  </si>
  <si>
    <t>條/strip</t>
  </si>
  <si>
    <t>人民幣/CNY</t>
  </si>
  <si>
    <t>阿富汗/Afghanistan</t>
  </si>
  <si>
    <t>到付/Pay by Recipient</t>
  </si>
  <si>
    <t>電商盒子 F1/EC Box F1</t>
  </si>
  <si>
    <t>送貨上樓（需行樓梯）/Upstairs Delivery (climb stairs required)</t>
  </si>
  <si>
    <t>简体点击此查看</t>
  </si>
  <si>
    <t>笑臉樣式/Smiley face style_3</t>
  </si>
  <si>
    <t>台灣統一編號/Tax I.D. Number</t>
  </si>
  <si>
    <t>把</t>
  </si>
  <si>
    <t>新台幣/NTD</t>
  </si>
  <si>
    <t>阿根廷/Argentina</t>
  </si>
  <si>
    <t>電商盒子 F2/EC Box F2</t>
  </si>
  <si>
    <t>星星樣式/Star-shaped style_4</t>
  </si>
  <si>
    <t>包/bag</t>
  </si>
  <si>
    <t>美元/USD</t>
  </si>
  <si>
    <t>阿拉伯聯合大公國/United Arab Emirates</t>
  </si>
  <si>
    <t>電商盒子 F3/EC Box F3</t>
  </si>
  <si>
    <t>雪花樣式/Snowflake-shaped style_5</t>
  </si>
  <si>
    <t>本</t>
  </si>
  <si>
    <t>英鎊/GBP</t>
  </si>
  <si>
    <t>阿魯巴/Aruba</t>
  </si>
  <si>
    <t>電商盒子 F4/EC Box F4</t>
  </si>
  <si>
    <t>無署名/No signature</t>
  </si>
  <si>
    <t>袋/bag</t>
  </si>
  <si>
    <t>日元/JPY</t>
  </si>
  <si>
    <t>阿曼/Oman</t>
  </si>
  <si>
    <t>電商盒子 F5/EC Box F5</t>
  </si>
  <si>
    <t>對/pair</t>
  </si>
  <si>
    <t>韓元/KRW</t>
  </si>
  <si>
    <t>埃及/Egypt</t>
  </si>
  <si>
    <t>電商盒子 F6/EC Box F6</t>
  </si>
  <si>
    <t>份</t>
  </si>
  <si>
    <t>新加坡元/SGD</t>
  </si>
  <si>
    <t>愛爾蘭/Ireland</t>
  </si>
  <si>
    <t>E順遞/EC-Ship</t>
  </si>
  <si>
    <t>幅</t>
  </si>
  <si>
    <t>馬來西亞令吉/MYR</t>
  </si>
  <si>
    <t>愛沙尼亞/Estonia</t>
  </si>
  <si>
    <t>店到店/SF Pick Up</t>
  </si>
  <si>
    <t>副/pair</t>
  </si>
  <si>
    <t>泰銖/THB</t>
  </si>
  <si>
    <t>安道爾共和國/Andorra</t>
  </si>
  <si>
    <t>店到門/SF Drop Off</t>
  </si>
  <si>
    <t>個</t>
  </si>
  <si>
    <t>安地卡及巴布達/Antigua and Barbuda</t>
  </si>
  <si>
    <t>門到店/SF Drop &amp; Pick</t>
  </si>
  <si>
    <t>根</t>
  </si>
  <si>
    <t>安哥拉/Angola</t>
  </si>
  <si>
    <t>酒類配送/Alcohol Delivery</t>
  </si>
  <si>
    <t>盒/box</t>
  </si>
  <si>
    <t>安圭拉島/Anguilla (bahama's)</t>
  </si>
  <si>
    <t>板貨專運/Palletized Freight Delivery</t>
  </si>
  <si>
    <t>架</t>
  </si>
  <si>
    <t>澳大利亞/Australia</t>
  </si>
  <si>
    <t>失物送遞/Lost Property Delivery</t>
  </si>
  <si>
    <t>卷/roll</t>
  </si>
  <si>
    <t>奧地利/Austria</t>
  </si>
  <si>
    <t>SF Ground Freight</t>
  </si>
  <si>
    <t>塊/piece</t>
  </si>
  <si>
    <t>奧蘭群島/Aland Islands</t>
  </si>
  <si>
    <t>輛</t>
  </si>
  <si>
    <t>巴貝多/Barbados</t>
  </si>
  <si>
    <t>片/piece</t>
  </si>
  <si>
    <t>巴布亞紐幾內亞/Papua New Guinea</t>
  </si>
  <si>
    <t>瓶/bottle</t>
  </si>
  <si>
    <t>巴哈馬/Bahamas</t>
  </si>
  <si>
    <t>雙/pair</t>
  </si>
  <si>
    <t>巴基斯坦/Pakistan</t>
  </si>
  <si>
    <t>艘</t>
  </si>
  <si>
    <t>巴拉圭/Paraguay</t>
  </si>
  <si>
    <t>臺</t>
  </si>
  <si>
    <t>巴勒斯坦/State of Palestine</t>
  </si>
  <si>
    <t>頭</t>
  </si>
  <si>
    <t>巴林/Bahrain</t>
  </si>
  <si>
    <t>箱/box</t>
  </si>
  <si>
    <t>巴拿馬/Panama (Rep.)</t>
  </si>
  <si>
    <t>張/piece</t>
  </si>
  <si>
    <t>巴西/Brazil</t>
  </si>
  <si>
    <t>支</t>
  </si>
  <si>
    <t>白俄羅斯/Belarus</t>
  </si>
  <si>
    <t>只</t>
  </si>
  <si>
    <t>百慕大群島/Bermuda</t>
  </si>
  <si>
    <t>枝</t>
  </si>
  <si>
    <t>保加利亞/Bulgaria</t>
  </si>
  <si>
    <t>組/set</t>
  </si>
  <si>
    <t>北馬里安納群島/Northern Mariana Islands</t>
  </si>
  <si>
    <t>座</t>
  </si>
  <si>
    <t>貝里斯/Belize</t>
  </si>
  <si>
    <t>米/m</t>
  </si>
  <si>
    <t>貝南/Benin</t>
  </si>
  <si>
    <t>kg/kg</t>
  </si>
  <si>
    <t>比利時/Belgium</t>
  </si>
  <si>
    <t>kpcs/kpcs</t>
  </si>
  <si>
    <t>冰島/Iceland</t>
  </si>
  <si>
    <t>碼/yard</t>
  </si>
  <si>
    <t>波多黎各/Puerto Rico</t>
  </si>
  <si>
    <t>平方英尺/square foot</t>
  </si>
  <si>
    <t>波蘭/Poland</t>
  </si>
  <si>
    <t>DS/DS</t>
  </si>
  <si>
    <t>玻利尼西亞（法屬）/French polynesia</t>
  </si>
  <si>
    <t>玻利維亞/Bolivia</t>
  </si>
  <si>
    <t>波士尼亞赫塞哥維納/Bosnia and Herzegovina</t>
  </si>
  <si>
    <t>波札那/Botswana</t>
  </si>
  <si>
    <t>帛琉/Palau</t>
  </si>
  <si>
    <t>博內爾島/Bonaire</t>
  </si>
  <si>
    <t>不丹/Bhutan</t>
  </si>
  <si>
    <t>布吉納法索/Burkina faso</t>
  </si>
  <si>
    <t>布隆迪/Burundi</t>
  </si>
  <si>
    <t>查德/Chad</t>
  </si>
  <si>
    <t>朝鮮/Korea (Dem People's Rep.)</t>
  </si>
  <si>
    <t>赤道幾內亞/Equatorial Guinea</t>
  </si>
  <si>
    <t>丹麥/Denmark</t>
  </si>
  <si>
    <t>德國/Germany</t>
  </si>
  <si>
    <t>東帝汶/Timor-Leste</t>
  </si>
  <si>
    <t>東加/Tonga</t>
  </si>
  <si>
    <t>多哥/Togo</t>
  </si>
  <si>
    <t>多明尼加共和國/Dominican Republic</t>
  </si>
  <si>
    <t>多明尼克/Dominica</t>
  </si>
  <si>
    <t>俄羅斯/Russia</t>
  </si>
  <si>
    <t>厄瓜多爾/Ecuador</t>
  </si>
  <si>
    <t>厄立特里亞/Eritrea</t>
  </si>
  <si>
    <t>法國/France</t>
  </si>
  <si>
    <t>法羅群島/Faroe islands</t>
  </si>
  <si>
    <t>法屬圭亞那/French guiana</t>
  </si>
  <si>
    <t>法屬馬丁尼克（法屬）/Martinique (fr)</t>
  </si>
  <si>
    <t>梵蒂岡/Vatican</t>
  </si>
  <si>
    <t>菲律賓/Philippines</t>
  </si>
  <si>
    <t>斐濟/Fiji</t>
  </si>
  <si>
    <t>芬蘭/Finland</t>
  </si>
  <si>
    <t>福克蘭群島/Falkland islands</t>
  </si>
  <si>
    <t>甘比亞/Gambia</t>
  </si>
  <si>
    <t>剛果/Congo</t>
  </si>
  <si>
    <t>剛果民主共和國/Dem. Rep. of Congo</t>
  </si>
  <si>
    <t>哥倫比亞/Colombia</t>
  </si>
  <si>
    <t>哥斯大黎加/Costa Rica</t>
  </si>
  <si>
    <t>格陵蘭島/Greenland</t>
  </si>
  <si>
    <t>格魯吉亞/Georgia</t>
  </si>
  <si>
    <t>格瑞那達/Grenada</t>
  </si>
  <si>
    <t>根西/Guernsey</t>
  </si>
  <si>
    <t>古巴/Cuba</t>
  </si>
  <si>
    <t>瓜德魯普/Guadeloupe</t>
  </si>
  <si>
    <t>關島/Guam (us)</t>
  </si>
  <si>
    <t>圭亞那/Guyana</t>
  </si>
  <si>
    <t>哈薩克斯坦/Kazakhstan</t>
  </si>
  <si>
    <t>海地/Haiti</t>
  </si>
  <si>
    <t>韓國/Korea</t>
  </si>
  <si>
    <t>荷蘭/Netherland</t>
  </si>
  <si>
    <t>黑山/Montenegro (Rep.)</t>
  </si>
  <si>
    <t>洪都拉斯/Honduras</t>
  </si>
  <si>
    <t>吉布地/Djibouti</t>
  </si>
  <si>
    <t>吉爾吉斯坦/Kyrgyzstan</t>
  </si>
  <si>
    <t>吉里巴斯/Kiribati</t>
  </si>
  <si>
    <t>幾內亞/Guinea</t>
  </si>
  <si>
    <t>幾內亞比索/Guinea-Bissau</t>
  </si>
  <si>
    <t>加拿大/Canada</t>
  </si>
  <si>
    <t>迦納/Ghana</t>
  </si>
  <si>
    <t>加蓬/Gabon</t>
  </si>
  <si>
    <t>柬埔寨/Cambodia</t>
  </si>
  <si>
    <t>捷克/Czech Republic</t>
  </si>
  <si>
    <t>喀麥隆/Cameroon</t>
  </si>
  <si>
    <t>卡達/Qatar</t>
  </si>
  <si>
    <t>開曼群島/Cayman islands</t>
  </si>
  <si>
    <t>科科斯（基林）島/Cocos (KEELING) Island</t>
  </si>
  <si>
    <t>科克群島/Cook islands (NZ)</t>
  </si>
  <si>
    <t>科摩羅/Comoros</t>
  </si>
  <si>
    <t>科索沃/Kosovo</t>
  </si>
  <si>
    <t>科威特/Kuwait</t>
  </si>
  <si>
    <t>克羅埃西亞/Croatia</t>
  </si>
  <si>
    <t>肯尼亞/Kenya</t>
  </si>
  <si>
    <t>庫拉索島/Curacao</t>
  </si>
  <si>
    <t>拉脫維亞/Latvia</t>
  </si>
  <si>
    <t>賴比瑞亞/Liberia</t>
  </si>
  <si>
    <t>賴索托/Lesotho</t>
  </si>
  <si>
    <t>老撾/Lao People's Dem. Rep.</t>
  </si>
  <si>
    <t>黎巴嫩/Lebanon</t>
  </si>
  <si>
    <t>利比亞/Libyan Jamahiriya</t>
  </si>
  <si>
    <t>立陶宛/Lithuania</t>
  </si>
  <si>
    <t>留尼汪（法屬）/Reunion (fr)</t>
  </si>
  <si>
    <t>盧森堡/Luxembourg</t>
  </si>
  <si>
    <t>盧旺達/Rwanda</t>
  </si>
  <si>
    <t>羅馬尼亞/Romania</t>
  </si>
  <si>
    <t>馬達加斯加/Madagascar</t>
  </si>
  <si>
    <t>馬恩島/Isle of Man</t>
  </si>
  <si>
    <t>馬爾地夫/Maldives</t>
  </si>
  <si>
    <t>馬爾他/Malta</t>
  </si>
  <si>
    <t>馬拉威/Malawi</t>
  </si>
  <si>
    <t>馬來西亞/Malaysia</t>
  </si>
  <si>
    <t>馬里/Mali</t>
  </si>
  <si>
    <t>馬其頓/Macedonia</t>
  </si>
  <si>
    <t>馬紹爾群島/Marshall Islands</t>
  </si>
  <si>
    <t>毛利塔尼亞/Mauritania</t>
  </si>
  <si>
    <t>美國/United States</t>
  </si>
  <si>
    <t>美國海外領地/US Minor Outlying Islands</t>
  </si>
  <si>
    <t>美屬薩摩亞群島/American Samoa</t>
  </si>
  <si>
    <t>蒙古/Mongolia</t>
  </si>
  <si>
    <t>蒙瑟拉特島島/Montserrat</t>
  </si>
  <si>
    <t>孟加拉/Bangladesh</t>
  </si>
  <si>
    <t>密克羅尼西亞聯邦/Micronesia, (Federated States)</t>
  </si>
  <si>
    <t>秘魯/Peru</t>
  </si>
  <si>
    <t>緬甸/Myanmar</t>
  </si>
  <si>
    <t>模里西斯/Mauritius</t>
  </si>
  <si>
    <t>摩洛哥/Morocco</t>
  </si>
  <si>
    <t>摩納哥/Monaco</t>
  </si>
  <si>
    <t>莫爾達瓦/Moldova</t>
  </si>
  <si>
    <t>莫三比克/Mozambique</t>
  </si>
  <si>
    <t>墨西哥/Mexico</t>
  </si>
  <si>
    <t>納米比亞/Namibia</t>
  </si>
  <si>
    <t>奈及利亞/Nigeria</t>
  </si>
  <si>
    <t>南非/South Africa</t>
  </si>
  <si>
    <t>南蘇丹/South Sudan</t>
  </si>
  <si>
    <t>尼泊爾/Nepal</t>
  </si>
  <si>
    <t>尼加拉瓜/Nicaragua</t>
  </si>
  <si>
    <t>尼日爾/Niger</t>
  </si>
  <si>
    <t>紐西蘭/New Zealand</t>
  </si>
  <si>
    <t>挪威/Norway</t>
  </si>
  <si>
    <t>諾福克島/Norfolk Island</t>
  </si>
  <si>
    <t>諾魯/Nauru</t>
  </si>
  <si>
    <t>葡萄牙/Portugal</t>
  </si>
  <si>
    <t>千里達和多巴哥/Trinidad and Tobago</t>
  </si>
  <si>
    <t>日本/Japan</t>
  </si>
  <si>
    <t>瑞典/Sweden</t>
  </si>
  <si>
    <t>瑞士/Switzerland</t>
  </si>
  <si>
    <t>薩爾瓦多/El Salvador</t>
  </si>
  <si>
    <t>薩摩亞/Samoa</t>
  </si>
  <si>
    <t>塞爾維亞共和國/Serbia (Rep.)</t>
  </si>
  <si>
    <t>塞內加爾/Senegal</t>
  </si>
  <si>
    <t>賽普勒斯/Cyprus</t>
  </si>
  <si>
    <t>塞席爾/Seychelles</t>
  </si>
  <si>
    <t>沙烏地阿拉伯/Saudi Arabia</t>
  </si>
  <si>
    <t>尚比亞/Zambia</t>
  </si>
  <si>
    <t>聖巴泰勒米島/Saint Barthelemy</t>
  </si>
  <si>
    <t>聖誕島/Christmas Island</t>
  </si>
  <si>
    <t>聖多美及普林西比島/Sao Tome and Principe</t>
  </si>
  <si>
    <t>聖赫勒拿島/Saint helena</t>
  </si>
  <si>
    <t>聖基茨和尼維斯/St. Kitts and Nevis</t>
  </si>
  <si>
    <t>聖露西亞/Saint Lucia</t>
  </si>
  <si>
    <t>聖馬丁/Saint Martin (FR)</t>
  </si>
  <si>
    <t>聖馬丁島/St. Maarten</t>
  </si>
  <si>
    <t>聖馬利諾/San Marino</t>
  </si>
  <si>
    <t>聖皮爾和密克隆（法屬）/Saint pierre and miquelon (fr)</t>
  </si>
  <si>
    <t>聖文森特/St. Vincent &amp;amp; Grenadines</t>
  </si>
  <si>
    <t>獅子山/Sierra Leone</t>
  </si>
  <si>
    <t>史瓦濟蘭/Swaziland</t>
  </si>
  <si>
    <t>斯里蘭卡/Sri Lanka</t>
  </si>
  <si>
    <t>斯洛伐克/Slovakia</t>
  </si>
  <si>
    <t>斯洛維尼亞/Slovenia</t>
  </si>
  <si>
    <t>蘇丹/Sudan</t>
  </si>
  <si>
    <t>蘇利南/Suriname</t>
  </si>
  <si>
    <t>所羅門群島/Solomon Islands</t>
  </si>
  <si>
    <t>索馬里/Somalia</t>
  </si>
  <si>
    <t>塔吉克斯坦/Tajikistan</t>
  </si>
  <si>
    <t>泰國/Thailand</t>
  </si>
  <si>
    <t>坦尚尼亞/Tanzania (United Rep.)</t>
  </si>
  <si>
    <t>特克斯和凱科斯群島（英屬）/Turks and Caicos Islands (gb)</t>
  </si>
  <si>
    <t>突尼斯/Tunisia</t>
  </si>
  <si>
    <t>圖瓦盧/Tuvalu</t>
  </si>
  <si>
    <t>土耳其/Turkey</t>
  </si>
  <si>
    <t>土庫曼斯坦/Turkmenistan</t>
  </si>
  <si>
    <t>托克勞群島/Tokelau (NZ)</t>
  </si>
  <si>
    <t>瓦利斯群島和富圖納群島/Wallis and futuna</t>
  </si>
  <si>
    <t>瓦努阿圖/Vanuatu</t>
  </si>
  <si>
    <t>危地馬拉/Guatemala</t>
  </si>
  <si>
    <t>維德角/Cape verde</t>
  </si>
  <si>
    <t>維爾京群島（美屬）/Virgin Islands, U.S.</t>
  </si>
  <si>
    <t>維爾京群島（英屬）/Virgin islands, (GB)</t>
  </si>
  <si>
    <t>委內瑞拉/Venezuela</t>
  </si>
  <si>
    <t>汶萊/Brunei</t>
  </si>
  <si>
    <t>烏干達/Uganda</t>
  </si>
  <si>
    <t>烏克蘭/Ukraine</t>
  </si>
  <si>
    <t>烏拉圭/Uruguay</t>
  </si>
  <si>
    <t>烏茲別克斯坦/Uzbekistan</t>
  </si>
  <si>
    <t>西班牙/Spain</t>
  </si>
  <si>
    <t>希臘/Greece</t>
  </si>
  <si>
    <t>西撒哈拉/Western Sahara</t>
  </si>
  <si>
    <t>夏威夷/Hawaii</t>
  </si>
  <si>
    <t>象牙海岸（共和國）/Cote d'Ivoire (Rep.)</t>
  </si>
  <si>
    <t>葉門/Yemen</t>
  </si>
  <si>
    <t>辛巴威/Zimbabwe</t>
  </si>
  <si>
    <t>新赫里多尼亞（法屬）/New Caledonia (fr)</t>
  </si>
  <si>
    <t>新加坡/Singapore</t>
  </si>
  <si>
    <t>匈牙利/Hungary</t>
  </si>
  <si>
    <t>敘利亞/Syrian Arab Rep.</t>
  </si>
  <si>
    <t>牙買加/Jamaica</t>
  </si>
  <si>
    <t>亞美尼亞/Armenia</t>
  </si>
  <si>
    <t>亞塞拜然/Azerbaijan</t>
  </si>
  <si>
    <t>伊拉克/Iraq</t>
  </si>
  <si>
    <t>伊朗/Iran (Islamic Rep.)</t>
  </si>
  <si>
    <t>衣索比亞/Ethiopia</t>
  </si>
  <si>
    <t>以色列/Israel</t>
  </si>
  <si>
    <t>意大利/Italy</t>
  </si>
  <si>
    <t>印度/India</t>
  </si>
  <si>
    <t>印尼/Indonesia</t>
  </si>
  <si>
    <t>英國/Great Britain</t>
  </si>
  <si>
    <t>英屬印度洋領地/British Indian Ocean Territory</t>
  </si>
  <si>
    <t>約旦/Jordan</t>
  </si>
  <si>
    <t>越南/Vietnam</t>
  </si>
  <si>
    <t>澤西島/Jersey</t>
  </si>
  <si>
    <t>直布羅陀/Gibraltar</t>
  </si>
  <si>
    <t>智利/Chile</t>
  </si>
  <si>
    <t>中非共和國/Central African Republic</t>
  </si>
  <si>
    <t>中國內地/China</t>
  </si>
  <si>
    <t>中國香港/Hong Kong China</t>
  </si>
  <si>
    <t>中國澳門/Macao China</t>
  </si>
  <si>
    <t>中國台灣/Taiwan China</t>
  </si>
  <si>
    <t>稅金付款帳號
Bill Account for Duties and Taxes</t>
  </si>
  <si>
    <t>A</t>
  </si>
  <si>
    <t>Mary Lam</t>
  </si>
  <si>
    <t>SF Express A</t>
  </si>
  <si>
    <t>葵青區</t>
  </si>
  <si>
    <t>青衣</t>
  </si>
  <si>
    <t>航運路36號亞洲物流中心9樓</t>
  </si>
  <si>
    <t>林順豐</t>
  </si>
  <si>
    <t>SF Express B</t>
  </si>
  <si>
    <t>香港</t>
  </si>
  <si>
    <t>大埔區</t>
  </si>
  <si>
    <t>大埔</t>
  </si>
  <si>
    <t>平安里10號華安樓5樓C座</t>
  </si>
  <si>
    <t>公仔衫</t>
  </si>
  <si>
    <t>1,4</t>
  </si>
  <si>
    <t>請用新公司印</t>
  </si>
  <si>
    <t>HK001</t>
  </si>
  <si>
    <t>1_希望你喜歡這份禮物！</t>
  </si>
  <si>
    <t>B</t>
  </si>
  <si>
    <t>853A1003</t>
  </si>
  <si>
    <t>主單備註：睡衣款公仔衫+次單1備註：安睡毛公仔</t>
  </si>
  <si>
    <t>2_親愛的，愛你哦~</t>
  </si>
  <si>
    <t>毛公仔</t>
  </si>
  <si>
    <t>C</t>
  </si>
  <si>
    <t>Kwai Tsing District</t>
  </si>
  <si>
    <t>Tsing Yi</t>
  </si>
  <si>
    <t>9th Floor, Asia Logistics Center, No. 36, Shipping Road.</t>
  </si>
  <si>
    <t>廣東省</t>
  </si>
  <si>
    <t>深圳市</t>
  </si>
  <si>
    <t>南山區</t>
  </si>
  <si>
    <t>XXXXXXXXXXX</t>
  </si>
  <si>
    <t>T-shirt</t>
  </si>
  <si>
    <t>No card</t>
  </si>
  <si>
    <t>D</t>
  </si>
  <si>
    <t>0937888000</t>
  </si>
  <si>
    <t>台灣</t>
  </si>
  <si>
    <t>台北市</t>
  </si>
  <si>
    <t>大安區</t>
  </si>
  <si>
    <t>A199001011</t>
  </si>
  <si>
    <t>模板版本
Template Version</t>
  </si>
  <si>
    <t>更新時間
Update Date</t>
  </si>
  <si>
    <t>1.0</t>
  </si>
  <si>
    <t>1.1</t>
  </si>
</sst>
</file>

<file path=xl/styles.xml><?xml version="1.0" encoding="utf-8"?>
<styleSheet xmlns="http://schemas.openxmlformats.org/spreadsheetml/2006/main">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mm\-dd"/>
    <numFmt numFmtId="178" formatCode="@&quot;（&quot;&quot;不&quot;&quot;需&quot;&quot;填&quot;&quot;寫&quot;&quot;詳&quot;&quot;細&quot;&quot;地&quot;&quot;址&quot;&quot;訊&quot;&quot;息&quot;&quot;）&quot;"/>
    <numFmt numFmtId="179" formatCode="h:mm;@"/>
  </numFmts>
  <fonts count="32">
    <font>
      <sz val="11"/>
      <color theme="1"/>
      <name val="宋体"/>
      <charset val="134"/>
      <scheme val="minor"/>
    </font>
    <font>
      <sz val="11"/>
      <color theme="1"/>
      <name val="微软雅黑"/>
      <charset val="134"/>
    </font>
    <font>
      <b/>
      <sz val="11"/>
      <color theme="1"/>
      <name val="微软雅黑"/>
      <charset val="134"/>
    </font>
    <font>
      <b/>
      <sz val="11"/>
      <color rgb="FFFF0000"/>
      <name val="微软雅黑"/>
      <charset val="134"/>
    </font>
    <font>
      <b/>
      <sz val="11"/>
      <name val="微软雅黑"/>
      <charset val="134"/>
    </font>
    <font>
      <sz val="10"/>
      <color theme="1"/>
      <name val="微软雅黑"/>
      <charset val="134"/>
    </font>
    <font>
      <sz val="11"/>
      <name val="微软雅黑"/>
      <charset val="134"/>
    </font>
    <font>
      <u/>
      <sz val="11"/>
      <color rgb="FF800080"/>
      <name val="宋体"/>
      <charset val="0"/>
      <scheme val="minor"/>
    </font>
    <font>
      <u/>
      <sz val="11"/>
      <color rgb="FF800080"/>
      <name val="微软雅黑"/>
      <charset val="0"/>
    </font>
    <font>
      <sz val="11"/>
      <color rgb="FF800080"/>
      <name val="微软雅黑"/>
      <charset val="0"/>
    </font>
    <font>
      <b/>
      <sz val="10"/>
      <color theme="1"/>
      <name val="微软雅黑"/>
      <charset val="134"/>
    </font>
    <font>
      <sz val="10"/>
      <name val="微软雅黑"/>
      <charset val="134"/>
    </font>
    <font>
      <sz val="11"/>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9"/>
      <name val="宋体"/>
      <charset val="134"/>
    </font>
  </fonts>
  <fills count="40">
    <fill>
      <patternFill patternType="none"/>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9" borderId="0" applyNumberFormat="0" applyBorder="0" applyAlignment="0" applyProtection="0">
      <alignment vertical="center"/>
    </xf>
    <xf numFmtId="0" fontId="14" fillId="10"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1" borderId="0" applyNumberFormat="0" applyBorder="0" applyAlignment="0" applyProtection="0">
      <alignment vertical="center"/>
    </xf>
    <xf numFmtId="0" fontId="15" fillId="12" borderId="0" applyNumberFormat="0" applyBorder="0" applyAlignment="0" applyProtection="0">
      <alignment vertical="center"/>
    </xf>
    <xf numFmtId="43" fontId="0" fillId="0" borderId="0" applyFont="0" applyFill="0" applyBorder="0" applyAlignment="0" applyProtection="0">
      <alignment vertical="center"/>
    </xf>
    <xf numFmtId="0" fontId="16" fillId="13"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4" borderId="9" applyNumberFormat="0" applyFont="0" applyAlignment="0" applyProtection="0">
      <alignment vertical="center"/>
    </xf>
    <xf numFmtId="0" fontId="16" fillId="15"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0" applyNumberFormat="0" applyFill="0" applyAlignment="0" applyProtection="0">
      <alignment vertical="center"/>
    </xf>
    <xf numFmtId="0" fontId="23" fillId="0" borderId="10" applyNumberFormat="0" applyFill="0" applyAlignment="0" applyProtection="0">
      <alignment vertical="center"/>
    </xf>
    <xf numFmtId="0" fontId="16" fillId="16" borderId="0" applyNumberFormat="0" applyBorder="0" applyAlignment="0" applyProtection="0">
      <alignment vertical="center"/>
    </xf>
    <xf numFmtId="0" fontId="18" fillId="0" borderId="11" applyNumberFormat="0" applyFill="0" applyAlignment="0" applyProtection="0">
      <alignment vertical="center"/>
    </xf>
    <xf numFmtId="0" fontId="16" fillId="17" borderId="0" applyNumberFormat="0" applyBorder="0" applyAlignment="0" applyProtection="0">
      <alignment vertical="center"/>
    </xf>
    <xf numFmtId="0" fontId="24" fillId="18" borderId="12" applyNumberFormat="0" applyAlignment="0" applyProtection="0">
      <alignment vertical="center"/>
    </xf>
    <xf numFmtId="0" fontId="25" fillId="18" borderId="8" applyNumberFormat="0" applyAlignment="0" applyProtection="0">
      <alignment vertical="center"/>
    </xf>
    <xf numFmtId="0" fontId="26" fillId="19" borderId="13" applyNumberFormat="0" applyAlignment="0" applyProtection="0">
      <alignment vertical="center"/>
    </xf>
    <xf numFmtId="0" fontId="13" fillId="20" borderId="0" applyNumberFormat="0" applyBorder="0" applyAlignment="0" applyProtection="0">
      <alignment vertical="center"/>
    </xf>
    <xf numFmtId="0" fontId="16" fillId="21" borderId="0" applyNumberFormat="0" applyBorder="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13" fillId="24" borderId="0" applyNumberFormat="0" applyBorder="0" applyAlignment="0" applyProtection="0">
      <alignment vertical="center"/>
    </xf>
    <xf numFmtId="0" fontId="16"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29" borderId="0" applyNumberFormat="0" applyBorder="0" applyAlignment="0" applyProtection="0">
      <alignment vertical="center"/>
    </xf>
    <xf numFmtId="0" fontId="16" fillId="30" borderId="0" applyNumberFormat="0" applyBorder="0" applyAlignment="0" applyProtection="0">
      <alignment vertical="center"/>
    </xf>
    <xf numFmtId="0" fontId="16" fillId="31" borderId="0" applyNumberFormat="0" applyBorder="0" applyAlignment="0" applyProtection="0">
      <alignment vertical="center"/>
    </xf>
    <xf numFmtId="0" fontId="13" fillId="32" borderId="0" applyNumberFormat="0" applyBorder="0" applyAlignment="0" applyProtection="0">
      <alignment vertical="center"/>
    </xf>
    <xf numFmtId="0" fontId="13" fillId="33" borderId="0" applyNumberFormat="0" applyBorder="0" applyAlignment="0" applyProtection="0">
      <alignment vertical="center"/>
    </xf>
    <xf numFmtId="0" fontId="16" fillId="34" borderId="0" applyNumberFormat="0" applyBorder="0" applyAlignment="0" applyProtection="0">
      <alignment vertical="center"/>
    </xf>
    <xf numFmtId="0" fontId="13" fillId="35" borderId="0" applyNumberFormat="0" applyBorder="0" applyAlignment="0" applyProtection="0">
      <alignment vertical="center"/>
    </xf>
    <xf numFmtId="0" fontId="16" fillId="36" borderId="0" applyNumberFormat="0" applyBorder="0" applyAlignment="0" applyProtection="0">
      <alignment vertical="center"/>
    </xf>
    <xf numFmtId="0" fontId="16" fillId="37" borderId="0" applyNumberFormat="0" applyBorder="0" applyAlignment="0" applyProtection="0">
      <alignment vertical="center"/>
    </xf>
    <xf numFmtId="0" fontId="13" fillId="38" borderId="0" applyNumberFormat="0" applyBorder="0" applyAlignment="0" applyProtection="0">
      <alignment vertical="center"/>
    </xf>
    <xf numFmtId="0" fontId="16" fillId="39" borderId="0" applyNumberFormat="0" applyBorder="0" applyAlignment="0" applyProtection="0">
      <alignment vertical="center"/>
    </xf>
  </cellStyleXfs>
  <cellXfs count="122">
    <xf numFmtId="0" fontId="0" fillId="0" borderId="0" xfId="0">
      <alignment vertical="center"/>
    </xf>
    <xf numFmtId="176" fontId="1" fillId="0" borderId="0" xfId="0" applyNumberFormat="1" applyFont="1" applyAlignment="1" applyProtection="1">
      <alignment horizontal="right" vertical="center"/>
      <protection hidden="1"/>
    </xf>
    <xf numFmtId="0" fontId="1" fillId="0" borderId="0" xfId="0" applyFont="1" applyAlignment="1" applyProtection="1">
      <alignment horizontal="right" vertical="center"/>
      <protection hidden="1"/>
    </xf>
    <xf numFmtId="0" fontId="1" fillId="0" borderId="0" xfId="0" applyFont="1" applyProtection="1">
      <alignment vertical="center"/>
      <protection hidden="1"/>
    </xf>
    <xf numFmtId="0" fontId="2" fillId="2" borderId="0" xfId="0" applyFont="1" applyFill="1" applyBorder="1" applyAlignment="1" applyProtection="1">
      <alignment horizontal="right" vertical="center" wrapText="1"/>
      <protection hidden="1"/>
    </xf>
    <xf numFmtId="176" fontId="1" fillId="0" borderId="0" xfId="0" applyNumberFormat="1" applyFont="1" applyFill="1" applyAlignment="1" applyProtection="1">
      <alignment horizontal="right" vertical="center"/>
      <protection hidden="1"/>
    </xf>
    <xf numFmtId="14" fontId="1" fillId="0" borderId="0" xfId="0" applyNumberFormat="1" applyFont="1" applyFill="1" applyAlignment="1" applyProtection="1">
      <alignment horizontal="right" vertical="center"/>
      <protection hidden="1"/>
    </xf>
    <xf numFmtId="0" fontId="1" fillId="0" borderId="0" xfId="0" applyNumberFormat="1" applyFont="1" applyFill="1" applyAlignment="1" applyProtection="1">
      <alignment horizontal="right" vertical="center"/>
      <protection hidden="1"/>
    </xf>
    <xf numFmtId="0" fontId="2" fillId="0" borderId="0" xfId="0" applyFont="1" applyBorder="1" applyAlignment="1" applyProtection="1">
      <alignment horizontal="center" vertical="center"/>
      <protection hidden="1"/>
    </xf>
    <xf numFmtId="0" fontId="1" fillId="0" borderId="0" xfId="0" applyFont="1" applyBorder="1" applyProtection="1">
      <alignment vertical="center"/>
      <protection hidden="1"/>
    </xf>
    <xf numFmtId="0" fontId="1" fillId="0" borderId="0" xfId="0" applyFont="1" applyAlignment="1" applyProtection="1">
      <alignment horizontal="left" vertical="center"/>
      <protection hidden="1"/>
    </xf>
    <xf numFmtId="49" fontId="1" fillId="0" borderId="0" xfId="0" applyNumberFormat="1" applyFont="1" applyAlignment="1" applyProtection="1">
      <alignment horizontal="right" vertical="center"/>
      <protection hidden="1"/>
    </xf>
    <xf numFmtId="0" fontId="1" fillId="0" borderId="0" xfId="0" applyNumberFormat="1" applyFont="1" applyAlignment="1" applyProtection="1">
      <alignment horizontal="left" vertical="center"/>
      <protection hidden="1"/>
    </xf>
    <xf numFmtId="177" fontId="1" fillId="0" borderId="0" xfId="0" applyNumberFormat="1" applyFont="1" applyAlignment="1" applyProtection="1">
      <alignment horizontal="right" vertical="center"/>
      <protection hidden="1"/>
    </xf>
    <xf numFmtId="179" fontId="1" fillId="0" borderId="0" xfId="0" applyNumberFormat="1" applyFont="1" applyAlignment="1" applyProtection="1">
      <alignment horizontal="right" vertical="center"/>
      <protection hidden="1"/>
    </xf>
    <xf numFmtId="0" fontId="1" fillId="0" borderId="0" xfId="0" applyFont="1" applyAlignment="1" applyProtection="1">
      <alignment horizontal="left" vertical="center"/>
    </xf>
    <xf numFmtId="0" fontId="1" fillId="0" borderId="0" xfId="0" applyFont="1" applyAlignment="1" applyProtection="1">
      <alignment horizontal="right" vertical="center"/>
    </xf>
    <xf numFmtId="0" fontId="2" fillId="2" borderId="1" xfId="0" applyFont="1" applyFill="1" applyBorder="1" applyAlignment="1" applyProtection="1">
      <alignment horizontal="left" vertical="center" wrapText="1"/>
      <protection hidden="1"/>
    </xf>
    <xf numFmtId="0" fontId="2" fillId="3" borderId="2" xfId="0" applyFont="1" applyFill="1" applyBorder="1" applyAlignment="1" applyProtection="1">
      <alignment horizontal="center" vertical="center" wrapText="1"/>
      <protection hidden="1"/>
    </xf>
    <xf numFmtId="0" fontId="2" fillId="3" borderId="1" xfId="0" applyFont="1" applyFill="1" applyBorder="1" applyAlignment="1" applyProtection="1">
      <alignment horizontal="right" vertical="center"/>
      <protection hidden="1"/>
    </xf>
    <xf numFmtId="49" fontId="2" fillId="3" borderId="1" xfId="0" applyNumberFormat="1" applyFont="1" applyFill="1" applyBorder="1" applyAlignment="1" applyProtection="1">
      <alignment horizontal="right" vertical="center"/>
      <protection hidden="1"/>
    </xf>
    <xf numFmtId="0" fontId="2" fillId="3" borderId="1" xfId="0" applyFont="1" applyFill="1" applyBorder="1" applyAlignment="1" applyProtection="1">
      <alignment horizontal="center" vertical="center"/>
      <protection hidden="1"/>
    </xf>
    <xf numFmtId="0" fontId="2" fillId="2" borderId="0" xfId="0" applyFont="1" applyFill="1" applyBorder="1" applyAlignment="1" applyProtection="1">
      <alignment horizontal="left" vertical="center" wrapText="1"/>
      <protection hidden="1"/>
    </xf>
    <xf numFmtId="0" fontId="3" fillId="3" borderId="3" xfId="0" applyFont="1" applyFill="1" applyBorder="1" applyAlignment="1" applyProtection="1">
      <alignment horizontal="left" vertical="center" wrapText="1"/>
      <protection hidden="1"/>
    </xf>
    <xf numFmtId="0" fontId="3" fillId="3" borderId="0" xfId="0" applyFont="1" applyFill="1" applyBorder="1" applyAlignment="1" applyProtection="1">
      <alignment horizontal="right" vertical="center" wrapText="1"/>
      <protection hidden="1"/>
    </xf>
    <xf numFmtId="49" fontId="2" fillId="3" borderId="0" xfId="0" applyNumberFormat="1" applyFont="1" applyFill="1" applyBorder="1" applyAlignment="1" applyProtection="1">
      <alignment horizontal="right" vertical="center" wrapText="1"/>
      <protection hidden="1"/>
    </xf>
    <xf numFmtId="0" fontId="2" fillId="3" borderId="0" xfId="0" applyFont="1" applyFill="1" applyBorder="1" applyAlignment="1" applyProtection="1">
      <alignment horizontal="left" vertical="center" wrapText="1"/>
      <protection hidden="1"/>
    </xf>
    <xf numFmtId="0" fontId="3" fillId="3" borderId="0" xfId="0" applyFont="1" applyFill="1" applyBorder="1" applyAlignment="1" applyProtection="1">
      <alignment horizontal="left" vertical="center" wrapText="1"/>
      <protection hidden="1"/>
    </xf>
    <xf numFmtId="0" fontId="1" fillId="0" borderId="0" xfId="0" applyNumberFormat="1" applyFont="1" applyAlignment="1" applyProtection="1">
      <alignment horizontal="right" vertical="center"/>
      <protection hidden="1"/>
    </xf>
    <xf numFmtId="0" fontId="1" fillId="0" borderId="0" xfId="0" applyFont="1" applyAlignment="1" applyProtection="1">
      <alignment horizontal="center" vertical="center"/>
      <protection hidden="1"/>
    </xf>
    <xf numFmtId="0" fontId="2" fillId="3" borderId="4" xfId="0" applyFont="1" applyFill="1" applyBorder="1" applyAlignment="1" applyProtection="1">
      <alignment horizontal="center" vertical="center"/>
      <protection hidden="1"/>
    </xf>
    <xf numFmtId="0" fontId="2" fillId="4" borderId="2" xfId="0" applyFont="1" applyFill="1" applyBorder="1" applyAlignment="1" applyProtection="1">
      <alignment horizontal="center" vertical="center" wrapText="1"/>
      <protection hidden="1"/>
    </xf>
    <xf numFmtId="0" fontId="2" fillId="4" borderId="1" xfId="0" applyFont="1" applyFill="1" applyBorder="1" applyAlignment="1" applyProtection="1">
      <alignment horizontal="right" vertical="center"/>
      <protection hidden="1"/>
    </xf>
    <xf numFmtId="49" fontId="2" fillId="4" borderId="1" xfId="0" applyNumberFormat="1" applyFont="1" applyFill="1" applyBorder="1" applyAlignment="1" applyProtection="1">
      <alignment horizontal="right" vertical="center"/>
      <protection hidden="1"/>
    </xf>
    <xf numFmtId="0" fontId="2" fillId="4" borderId="1" xfId="0" applyFont="1" applyFill="1" applyBorder="1" applyAlignment="1" applyProtection="1">
      <alignment horizontal="left" vertical="center"/>
      <protection hidden="1"/>
    </xf>
    <xf numFmtId="0" fontId="2" fillId="4" borderId="1" xfId="0" applyNumberFormat="1" applyFont="1" applyFill="1" applyBorder="1" applyAlignment="1" applyProtection="1">
      <alignment horizontal="left" vertical="center"/>
      <protection hidden="1"/>
    </xf>
    <xf numFmtId="0" fontId="3" fillId="3" borderId="5" xfId="0" applyFont="1" applyFill="1" applyBorder="1" applyAlignment="1" applyProtection="1">
      <alignment horizontal="left" vertical="center" wrapText="1"/>
      <protection hidden="1"/>
    </xf>
    <xf numFmtId="0" fontId="3" fillId="4" borderId="3" xfId="0" applyFont="1" applyFill="1" applyBorder="1" applyAlignment="1" applyProtection="1">
      <alignment horizontal="left" vertical="center" wrapText="1"/>
      <protection hidden="1"/>
    </xf>
    <xf numFmtId="0" fontId="3" fillId="4" borderId="0" xfId="0" applyFont="1" applyFill="1" applyBorder="1" applyAlignment="1" applyProtection="1">
      <alignment horizontal="right" vertical="center" wrapText="1"/>
      <protection hidden="1"/>
    </xf>
    <xf numFmtId="49" fontId="2" fillId="4" borderId="0" xfId="0" applyNumberFormat="1" applyFont="1" applyFill="1" applyBorder="1" applyAlignment="1" applyProtection="1">
      <alignment horizontal="right" vertical="center" wrapText="1"/>
      <protection hidden="1"/>
    </xf>
    <xf numFmtId="0" fontId="2" fillId="4" borderId="0" xfId="0" applyFont="1" applyFill="1" applyBorder="1" applyAlignment="1" applyProtection="1">
      <alignment horizontal="left" vertical="center" wrapText="1"/>
      <protection hidden="1"/>
    </xf>
    <xf numFmtId="0" fontId="2" fillId="4" borderId="0" xfId="0" applyNumberFormat="1" applyFont="1" applyFill="1" applyBorder="1" applyAlignment="1" applyProtection="1">
      <alignment horizontal="left" vertical="center" wrapText="1"/>
      <protection hidden="1"/>
    </xf>
    <xf numFmtId="178" fontId="1" fillId="0" borderId="0" xfId="0" applyNumberFormat="1" applyFont="1" applyAlignment="1" applyProtection="1">
      <alignment horizontal="left" vertical="center"/>
      <protection hidden="1"/>
    </xf>
    <xf numFmtId="0" fontId="2" fillId="4" borderId="1" xfId="0" applyFont="1" applyFill="1" applyBorder="1" applyAlignment="1" applyProtection="1">
      <alignment horizontal="center" vertical="center"/>
      <protection hidden="1"/>
    </xf>
    <xf numFmtId="0" fontId="2" fillId="4" borderId="4" xfId="0" applyFont="1" applyFill="1" applyBorder="1" applyAlignment="1" applyProtection="1">
      <alignment horizontal="right" vertical="center"/>
      <protection hidden="1"/>
    </xf>
    <xf numFmtId="0" fontId="2" fillId="5" borderId="2" xfId="0" applyFont="1" applyFill="1" applyBorder="1" applyAlignment="1" applyProtection="1">
      <alignment horizontal="center" vertical="center" wrapText="1"/>
      <protection hidden="1"/>
    </xf>
    <xf numFmtId="0" fontId="2" fillId="5" borderId="1" xfId="0" applyFont="1" applyFill="1" applyBorder="1" applyAlignment="1" applyProtection="1">
      <alignment horizontal="right" vertical="center"/>
      <protection hidden="1"/>
    </xf>
    <xf numFmtId="0" fontId="2" fillId="4" borderId="5" xfId="0" applyFont="1" applyFill="1" applyBorder="1" applyAlignment="1" applyProtection="1">
      <alignment horizontal="right" vertical="center" wrapText="1"/>
      <protection hidden="1"/>
    </xf>
    <xf numFmtId="0" fontId="3" fillId="5" borderId="3" xfId="0" applyFont="1" applyFill="1" applyBorder="1" applyAlignment="1" applyProtection="1">
      <alignment horizontal="left" vertical="center" wrapText="1"/>
      <protection hidden="1"/>
    </xf>
    <xf numFmtId="0" fontId="3" fillId="5" borderId="0" xfId="0" applyFont="1" applyFill="1" applyBorder="1" applyAlignment="1" applyProtection="1">
      <alignment horizontal="right" vertical="center" wrapText="1"/>
      <protection hidden="1"/>
    </xf>
    <xf numFmtId="0" fontId="1" fillId="0" borderId="0" xfId="0" applyFont="1" applyAlignment="1" applyProtection="1">
      <alignment vertical="center" wrapText="1"/>
      <protection hidden="1"/>
    </xf>
    <xf numFmtId="0" fontId="0" fillId="0" borderId="0" xfId="0" applyProtection="1">
      <alignment vertical="center"/>
      <protection hidden="1"/>
    </xf>
    <xf numFmtId="0" fontId="2" fillId="5" borderId="1" xfId="0" applyFont="1" applyFill="1" applyBorder="1" applyAlignment="1" applyProtection="1">
      <alignment horizontal="center" vertical="center"/>
      <protection hidden="1"/>
    </xf>
    <xf numFmtId="0" fontId="2" fillId="5" borderId="4" xfId="0" applyFont="1" applyFill="1" applyBorder="1" applyAlignment="1" applyProtection="1">
      <alignment horizontal="center" vertical="center"/>
      <protection hidden="1"/>
    </xf>
    <xf numFmtId="0" fontId="2" fillId="5" borderId="1" xfId="0" applyFont="1" applyFill="1" applyBorder="1" applyAlignment="1" applyProtection="1">
      <alignment horizontal="center" vertical="center" wrapText="1"/>
      <protection hidden="1"/>
    </xf>
    <xf numFmtId="0" fontId="2" fillId="5" borderId="1" xfId="0" applyFont="1" applyFill="1" applyBorder="1" applyAlignment="1" applyProtection="1">
      <alignment horizontal="left" vertical="center" wrapText="1"/>
      <protection hidden="1"/>
    </xf>
    <xf numFmtId="0" fontId="2" fillId="5" borderId="0" xfId="0" applyFont="1" applyFill="1" applyBorder="1" applyAlignment="1" applyProtection="1">
      <alignment horizontal="right" vertical="center" wrapText="1"/>
      <protection hidden="1"/>
    </xf>
    <xf numFmtId="0" fontId="2" fillId="5" borderId="0" xfId="0" applyFont="1" applyFill="1" applyBorder="1" applyAlignment="1" applyProtection="1">
      <alignment horizontal="left" vertical="center" wrapText="1"/>
      <protection hidden="1"/>
    </xf>
    <xf numFmtId="0" fontId="2" fillId="5" borderId="5" xfId="0" applyFont="1" applyFill="1" applyBorder="1" applyAlignment="1" applyProtection="1">
      <alignment horizontal="left" vertical="center" wrapText="1"/>
      <protection hidden="1"/>
    </xf>
    <xf numFmtId="0" fontId="3" fillId="5" borderId="3" xfId="0" applyFont="1" applyFill="1" applyBorder="1" applyAlignment="1" applyProtection="1">
      <alignment horizontal="right" vertical="center" wrapText="1"/>
      <protection hidden="1"/>
    </xf>
    <xf numFmtId="0" fontId="4" fillId="5" borderId="5" xfId="0" applyFont="1" applyFill="1" applyBorder="1" applyAlignment="1" applyProtection="1">
      <alignment horizontal="left" vertical="center" wrapText="1"/>
      <protection hidden="1"/>
    </xf>
    <xf numFmtId="0" fontId="2" fillId="6" borderId="6" xfId="0" applyFont="1" applyFill="1" applyBorder="1" applyAlignment="1" applyProtection="1">
      <alignment horizontal="center" vertical="center" wrapText="1"/>
      <protection hidden="1"/>
    </xf>
    <xf numFmtId="0" fontId="2" fillId="6" borderId="2" xfId="0" applyFont="1" applyFill="1" applyBorder="1" applyAlignment="1" applyProtection="1">
      <alignment horizontal="center" vertical="center" wrapText="1"/>
      <protection hidden="1"/>
    </xf>
    <xf numFmtId="0" fontId="2" fillId="6" borderId="1" xfId="0" applyFont="1" applyFill="1" applyBorder="1" applyAlignment="1" applyProtection="1">
      <alignment horizontal="center" vertical="center"/>
      <protection hidden="1"/>
    </xf>
    <xf numFmtId="0" fontId="2" fillId="6" borderId="4" xfId="0" applyFont="1" applyFill="1" applyBorder="1" applyAlignment="1" applyProtection="1">
      <alignment horizontal="right" vertical="center"/>
      <protection hidden="1"/>
    </xf>
    <xf numFmtId="177" fontId="2" fillId="7" borderId="2" xfId="0" applyNumberFormat="1" applyFont="1" applyFill="1" applyBorder="1" applyAlignment="1" applyProtection="1">
      <alignment horizontal="center" vertical="center" wrapText="1"/>
      <protection hidden="1"/>
    </xf>
    <xf numFmtId="179" fontId="2" fillId="7" borderId="4" xfId="0" applyNumberFormat="1" applyFont="1" applyFill="1" applyBorder="1" applyAlignment="1" applyProtection="1">
      <alignment horizontal="right" vertical="center"/>
      <protection hidden="1"/>
    </xf>
    <xf numFmtId="0" fontId="2" fillId="7" borderId="1" xfId="0" applyFont="1" applyFill="1" applyBorder="1" applyAlignment="1" applyProtection="1">
      <alignment horizontal="center" vertical="center"/>
      <protection hidden="1"/>
    </xf>
    <xf numFmtId="0" fontId="2" fillId="8" borderId="2" xfId="0" applyFont="1" applyFill="1" applyBorder="1" applyAlignment="1" applyProtection="1">
      <alignment horizontal="center" vertical="center" wrapText="1"/>
      <protection hidden="1"/>
    </xf>
    <xf numFmtId="0" fontId="3" fillId="6" borderId="7" xfId="0" applyFont="1" applyFill="1" applyBorder="1" applyAlignment="1" applyProtection="1">
      <alignment horizontal="left" vertical="center" wrapText="1"/>
      <protection hidden="1"/>
    </xf>
    <xf numFmtId="0" fontId="3" fillId="6" borderId="3" xfId="0" applyFont="1" applyFill="1" applyBorder="1" applyAlignment="1" applyProtection="1">
      <alignment horizontal="left" vertical="center" wrapText="1"/>
      <protection hidden="1"/>
    </xf>
    <xf numFmtId="0" fontId="4" fillId="6" borderId="0" xfId="0" applyFont="1" applyFill="1" applyBorder="1" applyAlignment="1" applyProtection="1">
      <alignment horizontal="left" vertical="center" wrapText="1"/>
      <protection hidden="1"/>
    </xf>
    <xf numFmtId="0" fontId="4" fillId="6" borderId="5" xfId="0" applyFont="1" applyFill="1" applyBorder="1" applyAlignment="1" applyProtection="1">
      <alignment horizontal="right" vertical="center" wrapText="1"/>
      <protection hidden="1"/>
    </xf>
    <xf numFmtId="177" fontId="4" fillId="7" borderId="3" xfId="0" applyNumberFormat="1" applyFont="1" applyFill="1" applyBorder="1" applyAlignment="1" applyProtection="1">
      <alignment horizontal="right" vertical="center" wrapText="1"/>
      <protection hidden="1"/>
    </xf>
    <xf numFmtId="179" fontId="4" fillId="7" borderId="5" xfId="0" applyNumberFormat="1" applyFont="1" applyFill="1" applyBorder="1" applyAlignment="1" applyProtection="1">
      <alignment horizontal="right" vertical="center" wrapText="1"/>
      <protection hidden="1"/>
    </xf>
    <xf numFmtId="0" fontId="2" fillId="7" borderId="7" xfId="0" applyFont="1" applyFill="1" applyBorder="1" applyAlignment="1" applyProtection="1">
      <alignment vertical="center" wrapText="1"/>
      <protection hidden="1"/>
    </xf>
    <xf numFmtId="0" fontId="2" fillId="8" borderId="3" xfId="0" applyFont="1" applyFill="1" applyBorder="1" applyAlignment="1" applyProtection="1">
      <alignment horizontal="right" vertical="center" wrapText="1"/>
      <protection hidden="1"/>
    </xf>
    <xf numFmtId="0" fontId="2" fillId="8" borderId="1" xfId="0" applyFont="1" applyFill="1" applyBorder="1" applyAlignment="1" applyProtection="1">
      <alignment horizontal="center" vertical="center" wrapText="1"/>
      <protection hidden="1"/>
    </xf>
    <xf numFmtId="0" fontId="2" fillId="8" borderId="0" xfId="0" applyFont="1" applyFill="1" applyBorder="1" applyAlignment="1" applyProtection="1">
      <alignment vertical="center" wrapText="1"/>
      <protection hidden="1"/>
    </xf>
    <xf numFmtId="0" fontId="2" fillId="8" borderId="0" xfId="0" applyFont="1" applyFill="1" applyBorder="1" applyAlignment="1" applyProtection="1">
      <alignment horizontal="right" vertical="center" wrapText="1"/>
      <protection hidden="1"/>
    </xf>
    <xf numFmtId="0" fontId="2" fillId="8" borderId="0" xfId="0" applyFont="1" applyFill="1" applyBorder="1" applyAlignment="1" applyProtection="1">
      <alignment horizontal="left" vertical="center" wrapText="1"/>
      <protection hidden="1"/>
    </xf>
    <xf numFmtId="0" fontId="2" fillId="8" borderId="4" xfId="0" applyFont="1" applyFill="1" applyBorder="1" applyAlignment="1" applyProtection="1">
      <alignment horizontal="center" vertical="center" wrapText="1"/>
      <protection hidden="1"/>
    </xf>
    <xf numFmtId="0" fontId="2" fillId="7" borderId="4" xfId="0" applyFont="1" applyFill="1" applyBorder="1" applyAlignment="1" applyProtection="1">
      <alignment horizontal="left" vertical="center"/>
      <protection hidden="1"/>
    </xf>
    <xf numFmtId="0" fontId="2" fillId="8" borderId="5" xfId="0" applyFont="1" applyFill="1" applyBorder="1" applyAlignment="1" applyProtection="1">
      <alignment horizontal="right" vertical="center" wrapText="1"/>
      <protection hidden="1"/>
    </xf>
    <xf numFmtId="0" fontId="2" fillId="7" borderId="7" xfId="0" applyFont="1" applyFill="1" applyBorder="1" applyAlignment="1" applyProtection="1">
      <alignment horizontal="left" vertical="center" wrapText="1"/>
      <protection hidden="1"/>
    </xf>
    <xf numFmtId="177" fontId="1" fillId="0" borderId="0" xfId="0" applyNumberFormat="1" applyFont="1" applyAlignment="1" applyProtection="1">
      <alignment horizontal="right" vertical="center"/>
    </xf>
    <xf numFmtId="20" fontId="1" fillId="0" borderId="0" xfId="0" applyNumberFormat="1" applyFont="1" applyAlignment="1" applyProtection="1">
      <alignment horizontal="right" vertical="center"/>
    </xf>
    <xf numFmtId="14" fontId="1" fillId="0" borderId="0" xfId="0" applyNumberFormat="1" applyFont="1" applyAlignment="1" applyProtection="1">
      <alignment horizontal="right" vertical="center"/>
    </xf>
    <xf numFmtId="0" fontId="1" fillId="0" borderId="0" xfId="0" applyFont="1" applyBorder="1" applyAlignment="1" applyProtection="1">
      <alignment horizontal="right" vertical="center"/>
      <protection hidden="1"/>
    </xf>
    <xf numFmtId="0" fontId="1" fillId="0" borderId="0" xfId="0" applyFont="1" applyFill="1" applyBorder="1" applyAlignment="1" applyProtection="1">
      <alignment vertical="center"/>
      <protection hidden="1"/>
    </xf>
    <xf numFmtId="177" fontId="1" fillId="0" borderId="0" xfId="0" applyNumberFormat="1" applyFont="1" applyBorder="1" applyAlignment="1" applyProtection="1">
      <alignment horizontal="right" vertical="center"/>
      <protection hidden="1"/>
    </xf>
    <xf numFmtId="0" fontId="1" fillId="0" borderId="0" xfId="0" applyFont="1" applyBorder="1" applyAlignment="1" applyProtection="1">
      <alignment horizontal="left" vertical="center"/>
      <protection hidden="1"/>
    </xf>
    <xf numFmtId="0" fontId="2" fillId="2" borderId="0" xfId="0" applyFont="1" applyFill="1" applyBorder="1" applyAlignment="1" applyProtection="1">
      <alignment vertical="center" wrapText="1"/>
      <protection hidden="1"/>
    </xf>
    <xf numFmtId="0" fontId="1" fillId="0" borderId="0" xfId="0" applyFont="1" applyFill="1" applyBorder="1" applyAlignment="1" applyProtection="1">
      <alignment horizontal="right" vertical="center"/>
      <protection hidden="1"/>
    </xf>
    <xf numFmtId="0" fontId="5" fillId="0" borderId="0" xfId="0" applyFont="1" applyFill="1" applyAlignment="1" applyProtection="1">
      <alignment vertical="center"/>
      <protection hidden="1"/>
    </xf>
    <xf numFmtId="0" fontId="6" fillId="0" borderId="0" xfId="0" applyFont="1" applyFill="1" applyBorder="1" applyAlignment="1" applyProtection="1">
      <alignment vertical="center"/>
      <protection hidden="1"/>
    </xf>
    <xf numFmtId="177" fontId="2" fillId="2" borderId="0" xfId="0" applyNumberFormat="1" applyFont="1" applyFill="1" applyBorder="1" applyAlignment="1" applyProtection="1">
      <alignment horizontal="right" vertical="center" wrapText="1"/>
      <protection hidden="1"/>
    </xf>
    <xf numFmtId="177" fontId="2" fillId="2" borderId="0" xfId="0" applyNumberFormat="1" applyFont="1" applyFill="1" applyBorder="1" applyAlignment="1" applyProtection="1">
      <alignment horizontal="left" vertical="center" wrapText="1"/>
      <protection hidden="1"/>
    </xf>
    <xf numFmtId="0" fontId="7" fillId="0" borderId="0" xfId="10" applyFont="1" applyBorder="1" applyAlignment="1" applyProtection="1">
      <alignment horizontal="left" vertical="center"/>
      <protection hidden="1"/>
    </xf>
    <xf numFmtId="0" fontId="8" fillId="0" borderId="0" xfId="10" applyFont="1">
      <alignment vertical="center"/>
    </xf>
    <xf numFmtId="0" fontId="7" fillId="0" borderId="0" xfId="10" applyFont="1">
      <alignment vertical="center"/>
    </xf>
    <xf numFmtId="0" fontId="9" fillId="0" borderId="0" xfId="10" applyFont="1">
      <alignment vertical="center"/>
    </xf>
    <xf numFmtId="0" fontId="10" fillId="0" borderId="0" xfId="0" applyFont="1" applyFill="1" applyAlignment="1" applyProtection="1">
      <alignment vertical="center"/>
      <protection hidden="1"/>
    </xf>
    <xf numFmtId="0" fontId="11" fillId="0" borderId="0" xfId="0" applyFont="1" applyFill="1" applyAlignment="1" applyProtection="1">
      <alignment vertical="center"/>
      <protection hidden="1"/>
    </xf>
    <xf numFmtId="0" fontId="12" fillId="0" borderId="0" xfId="0" applyFont="1" applyFill="1" applyBorder="1" applyAlignment="1" applyProtection="1">
      <alignment vertical="center"/>
      <protection hidden="1"/>
    </xf>
    <xf numFmtId="0" fontId="1" fillId="0" borderId="0" xfId="0" applyFont="1" applyAlignment="1" applyProtection="1">
      <alignment horizontal="left" vertical="center"/>
      <protection locked="0"/>
    </xf>
    <xf numFmtId="0" fontId="1" fillId="0" borderId="0" xfId="0" applyFont="1" applyAlignment="1" applyProtection="1">
      <alignment horizontal="right" vertical="center"/>
      <protection locked="0"/>
    </xf>
    <xf numFmtId="49" fontId="1" fillId="0" borderId="0" xfId="0" applyNumberFormat="1" applyFont="1" applyAlignment="1" applyProtection="1">
      <alignment horizontal="right" vertical="center"/>
      <protection locked="0"/>
    </xf>
    <xf numFmtId="0" fontId="1" fillId="0" borderId="0" xfId="0" applyNumberFormat="1" applyFont="1" applyAlignment="1" applyProtection="1">
      <alignment horizontal="left" vertical="center"/>
      <protection locked="0"/>
    </xf>
    <xf numFmtId="0" fontId="1" fillId="0" borderId="0" xfId="0" applyFont="1" applyProtection="1">
      <alignment vertical="center"/>
      <protection locked="0"/>
    </xf>
    <xf numFmtId="177" fontId="1" fillId="0" borderId="0" xfId="0" applyNumberFormat="1" applyFont="1" applyAlignment="1" applyProtection="1">
      <alignment horizontal="right" vertical="center"/>
      <protection locked="0"/>
    </xf>
    <xf numFmtId="179" fontId="1" fillId="0" borderId="0" xfId="0" applyNumberFormat="1" applyFont="1" applyAlignment="1" applyProtection="1">
      <alignment horizontal="right" vertical="center"/>
      <protection locked="0"/>
    </xf>
    <xf numFmtId="0" fontId="1" fillId="0" borderId="0" xfId="0" applyFont="1" applyAlignment="1" applyProtection="1">
      <alignment horizontal="center" vertical="center"/>
      <protection locked="0"/>
    </xf>
    <xf numFmtId="178" fontId="1" fillId="0" borderId="0" xfId="0" applyNumberFormat="1" applyFont="1" applyAlignment="1" applyProtection="1">
      <alignment horizontal="left" vertical="center"/>
      <protection locked="0"/>
    </xf>
    <xf numFmtId="0" fontId="1" fillId="0" borderId="0" xfId="0" applyFont="1" applyAlignment="1" applyProtection="1">
      <alignment vertical="center" wrapText="1"/>
      <protection locked="0"/>
    </xf>
    <xf numFmtId="0" fontId="1" fillId="0" borderId="0" xfId="0" applyFont="1" applyBorder="1" applyProtection="1">
      <alignment vertical="center"/>
      <protection locked="0"/>
    </xf>
    <xf numFmtId="0" fontId="2" fillId="7" borderId="4" xfId="0" applyFont="1" applyFill="1" applyBorder="1" applyAlignment="1" applyProtection="1">
      <alignment horizontal="center" vertical="center"/>
      <protection hidden="1"/>
    </xf>
    <xf numFmtId="0" fontId="2" fillId="8" borderId="1" xfId="0" applyFont="1" applyFill="1" applyBorder="1" applyAlignment="1" applyProtection="1">
      <alignment horizontal="left" vertical="center" wrapText="1"/>
      <protection hidden="1"/>
    </xf>
    <xf numFmtId="0" fontId="2" fillId="8" borderId="1" xfId="0" applyFont="1" applyFill="1" applyBorder="1" applyAlignment="1" applyProtection="1">
      <alignment horizontal="right" vertical="center" wrapText="1"/>
      <protection hidden="1"/>
    </xf>
    <xf numFmtId="0" fontId="2" fillId="8" borderId="4" xfId="0" applyFont="1" applyFill="1" applyBorder="1" applyAlignment="1" applyProtection="1">
      <alignment horizontal="right" vertical="center" wrapText="1"/>
      <protection hidden="1"/>
    </xf>
    <xf numFmtId="20" fontId="1" fillId="0" borderId="0" xfId="0" applyNumberFormat="1" applyFont="1" applyAlignment="1" applyProtection="1">
      <alignment horizontal="right" vertical="center"/>
      <protection locked="0"/>
    </xf>
    <xf numFmtId="14" fontId="1" fillId="0" borderId="0" xfId="0" applyNumberFormat="1" applyFont="1" applyAlignment="1" applyProtection="1">
      <alignment horizontal="right" vertical="center"/>
      <protection locked="0"/>
    </xf>
    <xf numFmtId="49" fontId="1" fillId="0" borderId="0" xfId="0" applyNumberFormat="1" applyFont="1" applyAlignment="1" applyProtection="1" quotePrefix="1">
      <alignment horizontal="right" vertical="center"/>
      <protection hidden="1"/>
    </xf>
    <xf numFmtId="176" fontId="1" fillId="0" borderId="0" xfId="0" applyNumberFormat="1" applyFont="1" applyFill="1" applyAlignment="1" applyProtection="1" quotePrefix="1">
      <alignment horizontal="right" vertical="center"/>
      <protection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i val="0"/>
        <color rgb="FFFF0000"/>
      </font>
      <fill>
        <patternFill patternType="solid">
          <bgColor rgb="FFFFCCCC"/>
        </patternFill>
      </fill>
    </dxf>
    <dxf>
      <numFmt numFmtId="0" formatCode="General"/>
      <fill>
        <patternFill patternType="solid">
          <bgColor theme="0" tint="-0.15"/>
        </patternFill>
      </fill>
    </dxf>
    <dxf>
      <font>
        <b val="1"/>
        <i val="0"/>
        <color rgb="FFFF0000"/>
      </font>
      <numFmt numFmtId="177" formatCode="yyyy\-mm\-dd"/>
      <fill>
        <patternFill patternType="solid">
          <bgColor rgb="FFFFCCCC"/>
        </patternFill>
      </fill>
    </dxf>
  </dxfs>
  <tableStyles count="0" defaultTableStyle="TableStyleMedium2" defaultPivotStyle="PivotStyleLight16"/>
  <colors>
    <mruColors>
      <color rgb="00FFF2CC"/>
      <color rgb="00FFE699"/>
      <color rgb="00FFFFFF"/>
      <color rgb="00D5D5FF"/>
      <color rgb="00FFCCFF"/>
      <color rgb="00FFCC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htm.sf-express.com/mobile/hk/sc/promotions/detail/Surprise-Delivery-E-Card-Examples/" TargetMode="External"/><Relationship Id="rId2" Type="http://schemas.openxmlformats.org/officeDocument/2006/relationships/hyperlink" Target="https://htm.sf-express.com/mobile/hk/tc/promotions/detail/Surprise-Delivery-E-Card-Examples/" TargetMode="External"/><Relationship Id="rId1" Type="http://schemas.openxmlformats.org/officeDocument/2006/relationships/hyperlink" Target="https://htm.sf-express.com/mobile/hk/en/promotions/detail/Surprise-Delivery-E-Card-Examples/"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A100"/>
  <sheetViews>
    <sheetView tabSelected="1" workbookViewId="0">
      <pane xSplit="1" ySplit="2" topLeftCell="AG3" activePane="bottomRight" state="frozen"/>
      <selection/>
      <selection pane="topRight"/>
      <selection pane="bottomLeft"/>
      <selection pane="bottomRight" activeCell="AK3" sqref="AK3"/>
    </sheetView>
  </sheetViews>
  <sheetFormatPr defaultColWidth="9" defaultRowHeight="16.5"/>
  <cols>
    <col min="1" max="2" width="20.625" style="105" customWidth="1"/>
    <col min="3" max="3" width="15.625" style="106" customWidth="1"/>
    <col min="4" max="5" width="20.625" style="107" customWidth="1"/>
    <col min="6" max="6" width="35.625" style="105" customWidth="1"/>
    <col min="7" max="9" width="20.625" style="105" customWidth="1"/>
    <col min="10" max="10" width="40.625" style="105" customWidth="1"/>
    <col min="11" max="11" width="20.625" style="105" customWidth="1"/>
    <col min="12" max="12" width="15.625" style="106" customWidth="1"/>
    <col min="13" max="14" width="20.625" style="107" customWidth="1"/>
    <col min="15" max="15" width="35.625" style="105" customWidth="1"/>
    <col min="16" max="16" width="18.625" style="108" customWidth="1"/>
    <col min="17" max="17" width="20.625" style="109" customWidth="1"/>
    <col min="18" max="18" width="25.625" style="105" customWidth="1"/>
    <col min="19" max="19" width="20.625" style="105" customWidth="1"/>
    <col min="20" max="20" width="40.625" style="105" customWidth="1"/>
    <col min="21" max="21" width="30.625" style="109" customWidth="1"/>
    <col min="22" max="22" width="20.625" style="106" customWidth="1"/>
    <col min="23" max="23" width="25.625" style="109" customWidth="1"/>
    <col min="24" max="25" width="15.625" style="106" customWidth="1"/>
    <col min="26" max="26" width="15.625" style="109" customWidth="1"/>
    <col min="27" max="27" width="15.625" style="106" customWidth="1"/>
    <col min="28" max="28" width="15.625" style="109" customWidth="1"/>
    <col min="29" max="29" width="25.625" style="109" customWidth="1"/>
    <col min="30" max="30" width="24.625" style="106" customWidth="1"/>
    <col min="31" max="31" width="35.625" style="106" customWidth="1"/>
    <col min="32" max="32" width="40.625" style="105" customWidth="1"/>
    <col min="33" max="33" width="40.625" style="109" customWidth="1"/>
    <col min="34" max="35" width="30.625" style="109" customWidth="1"/>
    <col min="36" max="36" width="35.625" style="106" customWidth="1"/>
    <col min="37" max="37" width="24.625" style="110" customWidth="1"/>
    <col min="38" max="38" width="24.625" style="111" customWidth="1"/>
    <col min="39" max="39" width="40.625" style="109" customWidth="1"/>
    <col min="40" max="40" width="24.625" style="106" customWidth="1"/>
    <col min="41" max="41" width="20.625" style="109" customWidth="1"/>
    <col min="42" max="42" width="25.625" style="109" customWidth="1"/>
    <col min="43" max="43" width="20.625" style="109" customWidth="1"/>
    <col min="44" max="44" width="20.625" style="106" customWidth="1"/>
    <col min="45" max="45" width="24.625" style="106" customWidth="1"/>
    <col min="46" max="46" width="50.625" style="109" customWidth="1"/>
    <col min="47" max="47" width="20.625" style="106" customWidth="1"/>
    <col min="48" max="48" width="20.625" style="105" customWidth="1"/>
    <col min="49" max="49" width="40.625" style="105" customWidth="1"/>
    <col min="50" max="50" width="30.625" style="105" customWidth="1"/>
    <col min="51" max="51" width="30.625" style="106" customWidth="1"/>
    <col min="52" max="52" width="24.625" style="106" customWidth="1"/>
    <col min="53" max="53" width="18.625" style="105" customWidth="1"/>
    <col min="54" max="16384" width="9" style="109"/>
  </cols>
  <sheetData>
    <row r="1" s="8" customFormat="1" ht="36" customHeight="1" spans="1:53">
      <c r="A1" s="17"/>
      <c r="B1" s="18" t="s">
        <v>0</v>
      </c>
      <c r="C1" s="19"/>
      <c r="D1" s="20"/>
      <c r="E1" s="20"/>
      <c r="F1" s="21"/>
      <c r="G1" s="21"/>
      <c r="H1" s="21"/>
      <c r="I1" s="21"/>
      <c r="J1" s="30"/>
      <c r="K1" s="31" t="s">
        <v>1</v>
      </c>
      <c r="L1" s="32"/>
      <c r="M1" s="33"/>
      <c r="N1" s="33"/>
      <c r="O1" s="34"/>
      <c r="P1" s="35"/>
      <c r="Q1" s="43"/>
      <c r="R1" s="34"/>
      <c r="S1" s="34"/>
      <c r="T1" s="34"/>
      <c r="U1" s="43"/>
      <c r="V1" s="44"/>
      <c r="W1" s="45" t="s">
        <v>2</v>
      </c>
      <c r="X1" s="46"/>
      <c r="Y1" s="46"/>
      <c r="Z1" s="52"/>
      <c r="AA1" s="46"/>
      <c r="AB1" s="52"/>
      <c r="AC1" s="53"/>
      <c r="AD1" s="45" t="s">
        <v>3</v>
      </c>
      <c r="AE1" s="54"/>
      <c r="AF1" s="55"/>
      <c r="AG1" s="61" t="s">
        <v>4</v>
      </c>
      <c r="AH1" s="62" t="s">
        <v>5</v>
      </c>
      <c r="AI1" s="63"/>
      <c r="AJ1" s="64"/>
      <c r="AK1" s="65" t="s">
        <v>6</v>
      </c>
      <c r="AL1" s="66"/>
      <c r="AM1" s="116"/>
      <c r="AN1" s="68" t="s">
        <v>7</v>
      </c>
      <c r="AO1" s="77"/>
      <c r="AP1" s="77"/>
      <c r="AQ1" s="77"/>
      <c r="AR1" s="77"/>
      <c r="AS1" s="77"/>
      <c r="AT1" s="77"/>
      <c r="AU1" s="77"/>
      <c r="AV1" s="117"/>
      <c r="AW1" s="117"/>
      <c r="AX1" s="117"/>
      <c r="AY1" s="118"/>
      <c r="AZ1" s="119"/>
      <c r="BA1" s="82"/>
    </row>
    <row r="2" s="9" customFormat="1" ht="53" customHeight="1" spans="1:53">
      <c r="A2" s="22" t="s">
        <v>8</v>
      </c>
      <c r="B2" s="23" t="s">
        <v>9</v>
      </c>
      <c r="C2" s="24" t="s">
        <v>10</v>
      </c>
      <c r="D2" s="25" t="s">
        <v>11</v>
      </c>
      <c r="E2" s="25" t="s">
        <v>12</v>
      </c>
      <c r="F2" s="26" t="s">
        <v>13</v>
      </c>
      <c r="G2" s="27" t="s">
        <v>14</v>
      </c>
      <c r="H2" s="27" t="s">
        <v>15</v>
      </c>
      <c r="I2" s="27" t="s">
        <v>16</v>
      </c>
      <c r="J2" s="36" t="s">
        <v>17</v>
      </c>
      <c r="K2" s="37" t="s">
        <v>9</v>
      </c>
      <c r="L2" s="38" t="s">
        <v>10</v>
      </c>
      <c r="M2" s="39" t="s">
        <v>11</v>
      </c>
      <c r="N2" s="39" t="s">
        <v>12</v>
      </c>
      <c r="O2" s="40" t="s">
        <v>13</v>
      </c>
      <c r="P2" s="41" t="s">
        <v>18</v>
      </c>
      <c r="Q2" s="40" t="s">
        <v>19</v>
      </c>
      <c r="R2" s="40" t="s">
        <v>20</v>
      </c>
      <c r="S2" s="40" t="s">
        <v>21</v>
      </c>
      <c r="T2" s="40" t="s">
        <v>22</v>
      </c>
      <c r="U2" s="40" t="s">
        <v>23</v>
      </c>
      <c r="V2" s="47" t="s">
        <v>24</v>
      </c>
      <c r="W2" s="48" t="s">
        <v>25</v>
      </c>
      <c r="X2" s="49" t="s">
        <v>26</v>
      </c>
      <c r="Y2" s="56" t="s">
        <v>27</v>
      </c>
      <c r="Z2" s="57" t="s">
        <v>28</v>
      </c>
      <c r="AA2" s="56" t="s">
        <v>29</v>
      </c>
      <c r="AB2" s="57" t="s">
        <v>30</v>
      </c>
      <c r="AC2" s="58" t="s">
        <v>31</v>
      </c>
      <c r="AD2" s="59" t="s">
        <v>32</v>
      </c>
      <c r="AE2" s="49" t="s">
        <v>33</v>
      </c>
      <c r="AF2" s="60" t="s">
        <v>34</v>
      </c>
      <c r="AG2" s="69" t="s">
        <v>35</v>
      </c>
      <c r="AH2" s="70" t="s">
        <v>36</v>
      </c>
      <c r="AI2" s="71" t="s">
        <v>37</v>
      </c>
      <c r="AJ2" s="72" t="s">
        <v>38</v>
      </c>
      <c r="AK2" s="73" t="s">
        <v>39</v>
      </c>
      <c r="AL2" s="74" t="s">
        <v>40</v>
      </c>
      <c r="AM2" s="75" t="s">
        <v>41</v>
      </c>
      <c r="AN2" s="76" t="s">
        <v>42</v>
      </c>
      <c r="AO2" s="78" t="s">
        <v>43</v>
      </c>
      <c r="AP2" s="78" t="s">
        <v>44</v>
      </c>
      <c r="AQ2" s="78" t="s">
        <v>45</v>
      </c>
      <c r="AR2" s="79" t="s">
        <v>46</v>
      </c>
      <c r="AS2" s="79" t="s">
        <v>47</v>
      </c>
      <c r="AT2" s="80" t="s">
        <v>48</v>
      </c>
      <c r="AU2" s="79" t="s">
        <v>49</v>
      </c>
      <c r="AV2" s="80" t="s">
        <v>50</v>
      </c>
      <c r="AW2" s="80" t="s">
        <v>51</v>
      </c>
      <c r="AX2" s="80" t="s">
        <v>52</v>
      </c>
      <c r="AY2" s="79" t="s">
        <v>53</v>
      </c>
      <c r="AZ2" s="83" t="s">
        <v>54</v>
      </c>
      <c r="BA2" s="84" t="s">
        <v>55</v>
      </c>
    </row>
    <row r="3" spans="16:52">
      <c r="P3" s="113"/>
      <c r="Q3" s="114"/>
      <c r="R3" s="105"/>
      <c r="S3" s="105"/>
      <c r="T3" s="105"/>
      <c r="AY3" s="110"/>
      <c r="AZ3" s="120"/>
    </row>
    <row r="4" spans="16:52">
      <c r="P4" s="113"/>
      <c r="AY4" s="121"/>
      <c r="AZ4" s="120"/>
    </row>
    <row r="5" spans="16:16">
      <c r="P5" s="113"/>
    </row>
    <row r="6" spans="16:16">
      <c r="P6" s="113"/>
    </row>
    <row r="7" spans="16:16">
      <c r="P7" s="113"/>
    </row>
    <row r="8" spans="16:16">
      <c r="P8" s="113"/>
    </row>
    <row r="9" spans="16:16">
      <c r="P9" s="113"/>
    </row>
    <row r="10" spans="16:16">
      <c r="P10" s="113"/>
    </row>
    <row r="11" spans="16:16">
      <c r="P11" s="113"/>
    </row>
    <row r="12" spans="16:16">
      <c r="P12" s="113"/>
    </row>
    <row r="13" spans="16:16">
      <c r="P13" s="113"/>
    </row>
    <row r="14" spans="16:16">
      <c r="P14" s="113"/>
    </row>
    <row r="15" spans="6:16">
      <c r="F15" s="112"/>
      <c r="P15" s="113"/>
    </row>
    <row r="16" spans="16:16">
      <c r="P16" s="113"/>
    </row>
    <row r="17" spans="16:16">
      <c r="P17" s="113"/>
    </row>
    <row r="18" spans="16:16">
      <c r="P18" s="113"/>
    </row>
    <row r="19" spans="16:28">
      <c r="P19" s="113"/>
      <c r="AB19" s="115"/>
    </row>
    <row r="20" spans="16:16">
      <c r="P20" s="113"/>
    </row>
    <row r="21" spans="16:16">
      <c r="P21" s="113"/>
    </row>
    <row r="22" spans="16:16">
      <c r="P22" s="113"/>
    </row>
    <row r="23" spans="16:16">
      <c r="P23" s="113"/>
    </row>
    <row r="24" spans="16:16">
      <c r="P24" s="113"/>
    </row>
    <row r="25" spans="16:16">
      <c r="P25" s="113"/>
    </row>
    <row r="26" spans="16:16">
      <c r="P26" s="113"/>
    </row>
    <row r="27" spans="16:16">
      <c r="P27" s="113"/>
    </row>
    <row r="28" spans="16:16">
      <c r="P28" s="113"/>
    </row>
    <row r="29" spans="16:16">
      <c r="P29" s="113"/>
    </row>
    <row r="30" spans="16:16">
      <c r="P30" s="113"/>
    </row>
    <row r="31" spans="16:16">
      <c r="P31" s="113"/>
    </row>
    <row r="32" spans="16:16">
      <c r="P32" s="113"/>
    </row>
    <row r="33" spans="16:16">
      <c r="P33" s="113"/>
    </row>
    <row r="34" spans="16:16">
      <c r="P34" s="113"/>
    </row>
    <row r="35" spans="16:16">
      <c r="P35" s="113"/>
    </row>
    <row r="36" spans="16:16">
      <c r="P36" s="113"/>
    </row>
    <row r="37" spans="16:16">
      <c r="P37" s="113"/>
    </row>
    <row r="38" spans="16:16">
      <c r="P38" s="113"/>
    </row>
    <row r="39" spans="16:16">
      <c r="P39" s="113"/>
    </row>
    <row r="40" spans="16:16">
      <c r="P40" s="113"/>
    </row>
    <row r="41" spans="16:16">
      <c r="P41" s="113"/>
    </row>
    <row r="42" spans="16:16">
      <c r="P42" s="113"/>
    </row>
    <row r="43" spans="16:16">
      <c r="P43" s="113"/>
    </row>
    <row r="44" spans="16:16">
      <c r="P44" s="113"/>
    </row>
    <row r="45" spans="16:16">
      <c r="P45" s="113"/>
    </row>
    <row r="46" spans="16:16">
      <c r="P46" s="113"/>
    </row>
    <row r="47" spans="16:16">
      <c r="P47" s="113"/>
    </row>
    <row r="48" spans="16:16">
      <c r="P48" s="113"/>
    </row>
    <row r="49" spans="16:16">
      <c r="P49" s="113"/>
    </row>
    <row r="50" spans="16:16">
      <c r="P50" s="113"/>
    </row>
    <row r="51" spans="16:16">
      <c r="P51" s="113"/>
    </row>
    <row r="52" spans="16:16">
      <c r="P52" s="113"/>
    </row>
    <row r="53" spans="16:16">
      <c r="P53" s="113"/>
    </row>
    <row r="54" spans="16:16">
      <c r="P54" s="113"/>
    </row>
    <row r="55" spans="16:16">
      <c r="P55" s="113"/>
    </row>
    <row r="56" spans="16:16">
      <c r="P56" s="113"/>
    </row>
    <row r="57" spans="16:16">
      <c r="P57" s="113"/>
    </row>
    <row r="58" spans="16:16">
      <c r="P58" s="113"/>
    </row>
    <row r="59" spans="16:16">
      <c r="P59" s="113"/>
    </row>
    <row r="60" spans="16:16">
      <c r="P60" s="113"/>
    </row>
    <row r="61" spans="16:16">
      <c r="P61" s="113"/>
    </row>
    <row r="62" spans="16:16">
      <c r="P62" s="113"/>
    </row>
    <row r="63" spans="16:16">
      <c r="P63" s="113"/>
    </row>
    <row r="64" spans="16:16">
      <c r="P64" s="113"/>
    </row>
    <row r="65" spans="16:16">
      <c r="P65" s="113"/>
    </row>
    <row r="66" spans="16:16">
      <c r="P66" s="113"/>
    </row>
    <row r="67" spans="16:16">
      <c r="P67" s="113"/>
    </row>
    <row r="68" spans="16:16">
      <c r="P68" s="113"/>
    </row>
    <row r="69" spans="16:16">
      <c r="P69" s="113"/>
    </row>
    <row r="70" spans="16:16">
      <c r="P70" s="113"/>
    </row>
    <row r="71" spans="16:16">
      <c r="P71" s="113"/>
    </row>
    <row r="72" spans="16:16">
      <c r="P72" s="113"/>
    </row>
    <row r="73" spans="16:16">
      <c r="P73" s="113"/>
    </row>
    <row r="74" spans="16:16">
      <c r="P74" s="113"/>
    </row>
    <row r="75" spans="16:16">
      <c r="P75" s="113"/>
    </row>
    <row r="76" spans="16:16">
      <c r="P76" s="113"/>
    </row>
    <row r="77" spans="16:16">
      <c r="P77" s="113"/>
    </row>
    <row r="78" spans="16:16">
      <c r="P78" s="113"/>
    </row>
    <row r="79" spans="16:16">
      <c r="P79" s="113"/>
    </row>
    <row r="80" spans="16:16">
      <c r="P80" s="113"/>
    </row>
    <row r="81" spans="16:16">
      <c r="P81" s="113"/>
    </row>
    <row r="82" spans="16:16">
      <c r="P82" s="113"/>
    </row>
    <row r="83" spans="16:16">
      <c r="P83" s="113"/>
    </row>
    <row r="84" spans="16:16">
      <c r="P84" s="113"/>
    </row>
    <row r="85" spans="16:16">
      <c r="P85" s="113"/>
    </row>
    <row r="86" spans="16:16">
      <c r="P86" s="113"/>
    </row>
    <row r="87" spans="16:16">
      <c r="P87" s="113"/>
    </row>
    <row r="88" spans="16:16">
      <c r="P88" s="113"/>
    </row>
    <row r="89" spans="16:16">
      <c r="P89" s="113"/>
    </row>
    <row r="90" spans="16:16">
      <c r="P90" s="113"/>
    </row>
    <row r="91" spans="16:16">
      <c r="P91" s="113"/>
    </row>
    <row r="92" spans="16:16">
      <c r="P92" s="113"/>
    </row>
    <row r="93" spans="16:16">
      <c r="P93" s="113"/>
    </row>
    <row r="94" spans="16:16">
      <c r="P94" s="113"/>
    </row>
    <row r="95" spans="16:16">
      <c r="P95" s="113"/>
    </row>
    <row r="96" spans="16:16">
      <c r="P96" s="113"/>
    </row>
    <row r="97" spans="16:16">
      <c r="P97" s="113"/>
    </row>
    <row r="98" spans="16:16">
      <c r="P98" s="113"/>
    </row>
    <row r="99" spans="16:16">
      <c r="P99" s="113"/>
    </row>
    <row r="100" spans="16:16">
      <c r="P100" s="113"/>
    </row>
  </sheetData>
  <sheetProtection sheet="1" formatColumns="0" objects="1"/>
  <mergeCells count="7">
    <mergeCell ref="B1:J1"/>
    <mergeCell ref="K1:V1"/>
    <mergeCell ref="W1:AC1"/>
    <mergeCell ref="AD1:AF1"/>
    <mergeCell ref="AH1:AJ1"/>
    <mergeCell ref="AK1:AL1"/>
    <mergeCell ref="AN1:AZ1"/>
  </mergeCells>
  <conditionalFormatting sqref="A4:A1000">
    <cfRule type="expression" dxfId="0" priority="59">
      <formula>AND(LEN($A3)&lt;&gt;0,LEN($A4)&lt;&gt;0,$A3=$A4)</formula>
    </cfRule>
  </conditionalFormatting>
  <conditionalFormatting sqref="B4:B1000">
    <cfRule type="expression" dxfId="1" priority="58">
      <formula>AND(LEN($A3)&lt;&gt;0,LEN($A4)&lt;&gt;0,$A3=$A4)</formula>
    </cfRule>
  </conditionalFormatting>
  <conditionalFormatting sqref="C4:C1000">
    <cfRule type="expression" dxfId="1" priority="57">
      <formula>AND(LEN($A3)&lt;&gt;0,LEN($A4)&lt;&gt;0,$A3=$A4)</formula>
    </cfRule>
  </conditionalFormatting>
  <conditionalFormatting sqref="D4:D1000">
    <cfRule type="expression" dxfId="1" priority="56">
      <formula>AND(LEN($A3)&lt;&gt;0,LEN($A4)&lt;&gt;0,$A3=$A4)</formula>
    </cfRule>
  </conditionalFormatting>
  <conditionalFormatting sqref="E4:E1000">
    <cfRule type="expression" dxfId="1" priority="55">
      <formula>AND(LEN($A3)&lt;&gt;0,LEN($A4)&lt;&gt;0,$A3=$A4)</formula>
    </cfRule>
  </conditionalFormatting>
  <conditionalFormatting sqref="F4:F1000">
    <cfRule type="expression" dxfId="1" priority="54">
      <formula>AND(LEN($A3)&lt;&gt;0,LEN($A4)&lt;&gt;0,$A3=$A4)</formula>
    </cfRule>
  </conditionalFormatting>
  <conditionalFormatting sqref="G4:G1000">
    <cfRule type="expression" dxfId="1" priority="53">
      <formula>AND(LEN($A3)&lt;&gt;0,LEN($A4)&lt;&gt;0,$A3=$A4)</formula>
    </cfRule>
  </conditionalFormatting>
  <conditionalFormatting sqref="H4:H1000">
    <cfRule type="expression" dxfId="1" priority="52">
      <formula>AND(LEN($A3)&lt;&gt;0,LEN($A4)&lt;&gt;0,$A3=$A4)</formula>
    </cfRule>
  </conditionalFormatting>
  <conditionalFormatting sqref="I4:I1000">
    <cfRule type="expression" dxfId="1" priority="51">
      <formula>AND(LEN($A3)&lt;&gt;0,LEN($A4)&lt;&gt;0,$A3=$A4)</formula>
    </cfRule>
  </conditionalFormatting>
  <conditionalFormatting sqref="J4:J1000">
    <cfRule type="expression" dxfId="1" priority="50">
      <formula>AND(LEN($A3)&lt;&gt;0,LEN($A4)&lt;&gt;0,$A3=$A4)</formula>
    </cfRule>
  </conditionalFormatting>
  <conditionalFormatting sqref="K4:K1000">
    <cfRule type="expression" dxfId="1" priority="49">
      <formula>AND(LEN($A3)&lt;&gt;0,LEN($A4)&lt;&gt;0,$A3=$A4)</formula>
    </cfRule>
  </conditionalFormatting>
  <conditionalFormatting sqref="L4:L1000">
    <cfRule type="expression" dxfId="1" priority="48">
      <formula>AND(LEN($A3)&lt;&gt;0,LEN($A4)&lt;&gt;0,$A3=$A4)</formula>
    </cfRule>
  </conditionalFormatting>
  <conditionalFormatting sqref="M3:M1000">
    <cfRule type="expression" dxfId="2" priority="203">
      <formula>AND(COUNTBLANK($AQ3)=0,COUNTBLANK($M3)=1)</formula>
    </cfRule>
  </conditionalFormatting>
  <conditionalFormatting sqref="M4:M1000">
    <cfRule type="expression" dxfId="1" priority="202">
      <formula>AND(LEN($A3)&lt;&gt;0,LEN($A4)&lt;&gt;0,$A3=$A4)</formula>
    </cfRule>
  </conditionalFormatting>
  <conditionalFormatting sqref="N4:N1000">
    <cfRule type="expression" dxfId="1" priority="47">
      <formula>AND(LEN($A3)&lt;&gt;0,LEN($A4)&lt;&gt;0,$A3=$A4)</formula>
    </cfRule>
  </conditionalFormatting>
  <conditionalFormatting sqref="O4:O1000">
    <cfRule type="expression" dxfId="1" priority="46">
      <formula>AND(LEN($A3)&lt;&gt;0,LEN($A4)&lt;&gt;0,$A3=$A4)</formula>
    </cfRule>
  </conditionalFormatting>
  <conditionalFormatting sqref="P4:P1000">
    <cfRule type="expression" dxfId="1" priority="45">
      <formula>AND(LEN($A3)&lt;&gt;0,LEN($A4)&lt;&gt;0,$A3=$A4)</formula>
    </cfRule>
  </conditionalFormatting>
  <conditionalFormatting sqref="Q3:Q1000">
    <cfRule type="expression" dxfId="1" priority="204">
      <formula>COUNT(SEARCH("853",$P3))&lt;&gt;0</formula>
    </cfRule>
    <cfRule type="expression" dxfId="3" priority="205">
      <formula>COUNT(SEARCH("852",$P3))&lt;&gt;0</formula>
    </cfRule>
  </conditionalFormatting>
  <conditionalFormatting sqref="Q4:Q1000">
    <cfRule type="expression" dxfId="1" priority="201">
      <formula>AND(LEN($A3)&lt;&gt;0,LEN($A4)&lt;&gt;0,$A3=$A4)</formula>
    </cfRule>
  </conditionalFormatting>
  <conditionalFormatting sqref="R3:R1000">
    <cfRule type="expression" dxfId="1" priority="199">
      <formula>COUNT(SEARCH("853",$P3))&lt;&gt;0</formula>
    </cfRule>
    <cfRule type="expression" dxfId="3" priority="200">
      <formula>COUNT(SEARCH("852",$P3))&lt;&gt;0</formula>
    </cfRule>
  </conditionalFormatting>
  <conditionalFormatting sqref="R4:R1000">
    <cfRule type="expression" dxfId="1" priority="198">
      <formula>AND(LEN($A3)&lt;&gt;0,LEN($A4)&lt;&gt;0,$A3=$A4)</formula>
    </cfRule>
  </conditionalFormatting>
  <conditionalFormatting sqref="S3:S1000">
    <cfRule type="expression" dxfId="1" priority="196">
      <formula>COUNT(SEARCH("853",$P3))&lt;&gt;0</formula>
    </cfRule>
    <cfRule type="expression" dxfId="3" priority="197">
      <formula>COUNT(SEARCH("852",$P3))&lt;&gt;0</formula>
    </cfRule>
  </conditionalFormatting>
  <conditionalFormatting sqref="S4:S1000">
    <cfRule type="expression" dxfId="1" priority="193">
      <formula>AND(LEN($A3)&lt;&gt;0,LEN($A4)&lt;&gt;0,$A3=$A4)</formula>
    </cfRule>
  </conditionalFormatting>
  <conditionalFormatting sqref="T3:T1000">
    <cfRule type="expression" dxfId="1" priority="191">
      <formula>COUNT(SEARCH("853",$P3))&lt;&gt;0</formula>
    </cfRule>
    <cfRule type="expression" dxfId="3" priority="192">
      <formula>COUNT(SEARCH("852",$P3))&lt;&gt;0</formula>
    </cfRule>
  </conditionalFormatting>
  <conditionalFormatting sqref="T4:T1000">
    <cfRule type="expression" dxfId="1" priority="190">
      <formula>AND(LEN($A3)&lt;&gt;0,LEN($A4)&lt;&gt;0,$A3=$A4)</formula>
    </cfRule>
  </conditionalFormatting>
  <conditionalFormatting sqref="U3:U1000">
    <cfRule type="expression" dxfId="2" priority="207">
      <formula>AND(OR($Q3="台湾",$Q3="台灣",$Q3="臺灣",$Q3="臺湾",$Q3="Taiwan"),AND($O3&lt;&gt;0),ISBLANK($U3))</formula>
    </cfRule>
  </conditionalFormatting>
  <conditionalFormatting sqref="U4:U1000">
    <cfRule type="expression" dxfId="1" priority="189">
      <formula>AND(LEN($A3)&lt;&gt;0,LEN($A4)&lt;&gt;0,$A3=$A4)</formula>
    </cfRule>
  </conditionalFormatting>
  <conditionalFormatting sqref="V3:V1000">
    <cfRule type="expression" dxfId="2" priority="142">
      <formula>AND(OR($Q3="台湾",$Q3="台灣",$Q3="臺灣",$Q3="臺湾",$Q3="Taiwan"),AND($O3&lt;&gt;0),ISBLANK($V3))</formula>
    </cfRule>
  </conditionalFormatting>
  <conditionalFormatting sqref="V4:V1000">
    <cfRule type="expression" dxfId="1" priority="188">
      <formula>AND(LEN($A3)&lt;&gt;0,LEN($A4)&lt;&gt;0,$A3=$A4)</formula>
    </cfRule>
  </conditionalFormatting>
  <conditionalFormatting sqref="W3:W1000">
    <cfRule type="expression" dxfId="2" priority="126">
      <formula>AND(OR(RIGHT($Q3,8)="Province",RIGHT($Q3,4)="City",RIGHT($Q3,6)="County",RIGHT($Q3,8)="District",RIGHT($Q3,8)="Township"),ISBLANK($W3))</formula>
    </cfRule>
    <cfRule type="expression" dxfId="2" priority="127">
      <formula>AND(OR(RIGHT($Q3,1)="省",RIGHT($Q3,1)="市",RIGHT($Q3,1)="区",RIGHT($Q3,1)="县",RIGHT($Q3,1)="镇",RIGHT($Q3,1)="乡"),ISBLANK($W3))</formula>
    </cfRule>
    <cfRule type="expression" dxfId="2" priority="128">
      <formula>AND(OR(RIGHT($Q3,1)="省",RIGHT($Q3,1)="市",RIGHT($Q3,1)="區",RIGHT($Q3,1)="縣",RIGHT($Q3,1)="鎮",RIGHT($Q3,1)="鄉"),ISBLANK($W3))</formula>
    </cfRule>
    <cfRule type="expression" dxfId="2" priority="129">
      <formula>AND(OR($G3="香港",$G3="Hong Kong",$G3="香港/Hong Kong"),OR($Q3="Hong Kong",$Q3="Hong Kong, China",$Q3="HK",$Q3="HKSAR"),ISBLANK($W3))</formula>
    </cfRule>
    <cfRule type="expression" dxfId="2" priority="130">
      <formula>AND(OR($G3="香港",$G3="Hong Kong",$G3="香港/Hong Kong"),OR($Q3="香港",$Q3="中国香港",$Q3="香港特别行政区"),ISBLANK($W3))</formula>
    </cfRule>
    <cfRule type="expression" dxfId="2" priority="131">
      <formula>AND(OR($G3="香港",$G3="Hong Kong",$G3="香港/Hong Kong"),OR($Q3="香港",$Q3="中國香港",$Q3="香港特別行政區"),ISBLANK($W3))</formula>
    </cfRule>
    <cfRule type="expression" dxfId="2" priority="132">
      <formula>AND(OR($G3="澳门",$G3="澳門",$G3="Macau",$G3="澳門/Macau"),OR($Q3="Macau",$Q3="Macau, China"),ISBLANK($W3))</formula>
    </cfRule>
    <cfRule type="expression" dxfId="2" priority="133">
      <formula>AND(OR($G3="澳门",$G3="澳門",$G3="Macau",$G3="澳門/Macau"),OR($Q3="澳门",$Q3="中国澳门",$Q3="澳门特别行政区"),ISBLANK($W3))</formula>
    </cfRule>
    <cfRule type="expression" dxfId="2" priority="134">
      <formula>AND(OR($G3="澳门",$G3="澳門",$G3="Macau",$G3="澳門/Macau"),OR($Q3="澳門",$Q3="中國澳門",$Q3="澳門特別行政區"),ISBLANK($W3))</formula>
    </cfRule>
    <cfRule type="expression" dxfId="2" priority="135">
      <formula>AND(OR($G3="澳门",$G3="澳門",$G3="Macau",$G3="澳門/Macau"),OR($Q3="Hong Kong",$Q3="Hong Kong, China",$Q3="HK",$Q3="HKSAR",$Q3="Taiwan",$Q3="Taiwan, China"),ISBLANK($W3))</formula>
    </cfRule>
    <cfRule type="expression" dxfId="2" priority="136">
      <formula>AND(OR($G3="澳门",$G3="澳門",$G3="Macau",$G3="澳門/Macau"),OR($Q3="香港",$Q3="中国香港",$Q3="香港特别行政区",$Q3="台湾",$Q3="中国台湾"),ISBLANK($W3))</formula>
    </cfRule>
    <cfRule type="expression" dxfId="2" priority="137">
      <formula>AND(OR($G3="澳门",$G3="澳門",$G3="Macau",$G3="澳門/Macau"),OR($Q3="香港",$Q3="中國香港",$Q3="香港特別行政區",$Q3="台灣",$Q3="中國台灣"),ISBLANK($W3))</formula>
    </cfRule>
    <cfRule type="expression" dxfId="2" priority="138">
      <formula>AND(OR($G3="香港",$G3="Hong Kong",$G3="香港/Hong Kong"),OR($Q3="Macau",$Q3="Macau, China",$Q3="Taiwan",$Q3="Taiwan, China"),ISBLANK($W3))</formula>
    </cfRule>
    <cfRule type="expression" dxfId="2" priority="139">
      <formula>AND(OR($G3="香港",$G3="Hong Kong",$G3="香港/Hong Kong"),OR($Q3="澳门",$Q3="中国澳门",$Q3="澳门特别行政区",$Q3="台湾",$Q3="中国台湾"),ISBLANK($W3))</formula>
    </cfRule>
    <cfRule type="expression" dxfId="2" priority="140">
      <formula>AND(OR($G3="香港",$G3="Hong Kong",$G3="香港/Hong Kong"),OR($Q3="澳門",$Q3="中國澳門",$Q3="澳門特別行政區",$Q3="台灣",$Q3="中國台灣"),ISBLANK($W3))</formula>
    </cfRule>
    <cfRule type="expression" dxfId="2" priority="141">
      <formula>AND(LEN($X3)&lt;&gt;0,ISBLANK($W3))</formula>
    </cfRule>
  </conditionalFormatting>
  <conditionalFormatting sqref="X3:X1000">
    <cfRule type="expression" dxfId="2" priority="110">
      <formula>AND(OR(RIGHT($Q3,8)="Province",RIGHT($Q3,4)="City",RIGHT($Q3,6)="County",RIGHT($Q3,8)="District",RIGHT($Q3,8)="Township"),ISBLANK($X3))</formula>
    </cfRule>
    <cfRule type="expression" dxfId="2" priority="111">
      <formula>AND(OR(RIGHT($Q3,1)="省",RIGHT($Q3,1)="市",RIGHT($Q3,1)="区",RIGHT($Q3,1)="县",RIGHT($Q3,1)="镇",RIGHT($Q3,1)="乡"),ISBLANK($X3))</formula>
    </cfRule>
    <cfRule type="expression" dxfId="2" priority="112">
      <formula>AND(OR(RIGHT($Q3,1)="省",RIGHT($Q3,1)="市",RIGHT($Q3,1)="區",RIGHT($Q3,1)="縣",RIGHT($Q3,1)="鎮",RIGHT($Q3,1)="鄉"),ISBLANK($X3))</formula>
    </cfRule>
    <cfRule type="expression" dxfId="2" priority="113">
      <formula>AND(OR($G3="香港",$G3="Hong Kong",$G3="香港/Hong Kong"),OR($Q3="Hong Kong",$Q3="Hong Kong, China",$Q3="HK",$Q3="HKSAR"),ISBLANK($X3))</formula>
    </cfRule>
    <cfRule type="expression" dxfId="2" priority="114">
      <formula>AND(OR($G3="香港",$G3="Hong Kong",$G3="香港/Hong Kong"),OR($Q3="香港",$Q3="中国香港",$Q3="香港特别行政区"),ISBLANK($X3))</formula>
    </cfRule>
    <cfRule type="expression" dxfId="2" priority="115">
      <formula>AND(OR($G3="香港",$G3="Hong Kong",$G3="香港/Hong Kong"),OR($Q3="香港",$Q3="中國香港",$Q3="香港特別行政區"),ISBLANK($X3))</formula>
    </cfRule>
    <cfRule type="expression" dxfId="2" priority="116">
      <formula>AND(OR($G3="澳门",$G3="澳門",$G3="Macau",$G3="澳門/Macau"),OR($Q3="Macau",$Q3="Macau, China"),ISBLANK($X3))</formula>
    </cfRule>
    <cfRule type="expression" dxfId="2" priority="117">
      <formula>AND(OR($G3="澳门",$G3="澳門",$G3="Macau",$G3="澳門/Macau"),OR($Q3="澳门",$Q3="中国澳门",$Q3="澳门特别行政区"),ISBLANK($X3))</formula>
    </cfRule>
    <cfRule type="expression" dxfId="2" priority="118">
      <formula>AND(OR($G3="澳门",$G3="澳門",$G3="Macau",$G3="澳門/Macau"),OR($Q3="澳門",$Q3="中國澳門",$Q3="澳門特別行政區"),ISBLANK($X3))</formula>
    </cfRule>
    <cfRule type="expression" dxfId="2" priority="119">
      <formula>AND(OR($G3="澳门",$G3="澳門",$G3="Macau",$G3="澳門/Macau"),OR($Q3="Hong Kong",$Q3="Hong Kong, China",$Q3="HK",$Q3="HKSAR",$Q3="Taiwan",$Q3="Taiwan, China"),ISBLANK($X3))</formula>
    </cfRule>
    <cfRule type="expression" dxfId="2" priority="120">
      <formula>AND(OR($G3="澳门",$G3="澳門",$G3="Macau",$G3="澳門/Macau"),OR($Q3="香港",$Q3="中国香港",$Q3="香港特别行政区",$Q3="台湾",$Q3="中国台湾"),ISBLANK($X3))</formula>
    </cfRule>
    <cfRule type="expression" dxfId="2" priority="121">
      <formula>AND(OR($G3="澳门",$G3="澳門",$G3="Macau",$G3="澳門/Macau"),OR($Q3="香港",$Q3="中國香港",$Q3="香港特別行政區",$Q3="台灣",$Q3="中國台灣"),ISBLANK($X3))</formula>
    </cfRule>
    <cfRule type="expression" dxfId="2" priority="122">
      <formula>AND(OR($G3="香港",$G3="Hong Kong",$G3="香港/Hong Kong"),OR($Q3="Macau",$Q3="Macau, China",$Q3="Taiwan",$Q3="Taiwan, China"),ISBLANK($X3))</formula>
    </cfRule>
    <cfRule type="expression" dxfId="2" priority="123">
      <formula>AND(OR($G3="香港",$G3="Hong Kong",$G3="香港/Hong Kong"),OR($Q3="澳门",$Q3="中国澳门",$Q3="澳门特别行政区",$Q3="台湾",$Q3="中国台湾"),ISBLANK($X3))</formula>
    </cfRule>
    <cfRule type="expression" dxfId="2" priority="124">
      <formula>AND(OR($G3="香港",$G3="Hong Kong",$G3="香港/Hong Kong"),OR($Q3="澳門",$Q3="中國澳門",$Q3="澳門特別行政區",$Q3="台灣",$Q3="中國台灣"),ISBLANK($X3))</formula>
    </cfRule>
    <cfRule type="expression" dxfId="2" priority="125">
      <formula>AND(LEN($W3)&lt;&gt;0,ISBLANK($X3))</formula>
    </cfRule>
  </conditionalFormatting>
  <conditionalFormatting sqref="Y3:Y1000">
    <cfRule type="expression" dxfId="2" priority="100">
      <formula>AND(OR(RIGHT($Q3,8)="Province",RIGHT($Q3,4)="City",RIGHT($Q3,6)="County",RIGHT($Q3,8)="District",RIGHT($Q3,8)="Township"),ISBLANK($Y3))</formula>
    </cfRule>
    <cfRule type="expression" dxfId="2" priority="101">
      <formula>AND(OR(RIGHT($Q3,1)="省",RIGHT($Q3,1)="市",RIGHT($Q3,1)="区",RIGHT($Q3,1)="县",RIGHT($Q3,1)="镇",RIGHT($Q3,1)="乡"),ISBLANK($Y3))</formula>
    </cfRule>
    <cfRule type="expression" dxfId="2" priority="102">
      <formula>AND(OR(RIGHT($Q3,1)="省",RIGHT($Q3,1)="市",RIGHT($Q3,1)="區",RIGHT($Q3,1)="縣",RIGHT($Q3,1)="鎮",RIGHT($Q3,1)="鄉"),ISBLANK($Y3))</formula>
    </cfRule>
    <cfRule type="expression" dxfId="2" priority="103">
      <formula>AND(OR($G3="澳门",$G3="澳門",$G3="Macau",$G3="澳門/Macau"),OR($Q3="Hong Kong",$Q3="Hong Kong, China",$Q3="HK",$Q3="HKSAR",$Q3="Taiwan",$Q3="Taiwan, China"),ISBLANK($Y3))</formula>
    </cfRule>
    <cfRule type="expression" dxfId="2" priority="104">
      <formula>AND(OR($G3="澳门",$G3="澳門",$G3="Macau",$G3="澳門/Macau"),OR($Q3="香港",$Q3="中国香港",$Q3="香港特别行政区",$Q3="台湾",$Q3="中国台湾"),ISBLANK($Y3))</formula>
    </cfRule>
    <cfRule type="expression" dxfId="2" priority="105">
      <formula>AND(OR($G3="澳门",$G3="澳門",$G3="Macau",$G3="澳門/Macau"),OR($Q3="香港",$Q3="中國香港",$Q3="香港特別行政區",$Q3="台灣",$Q3="中國台灣"),ISBLANK($Y3))</formula>
    </cfRule>
    <cfRule type="expression" dxfId="2" priority="106">
      <formula>AND(OR($G3="香港",$G3="Hong Kong",$G3="香港/Hong Kong"),OR($Q3="Macau",$Q3="Macau, China",$Q3="Taiwan",$Q3="Taiwan, China"),ISBLANK($Y3))</formula>
    </cfRule>
    <cfRule type="expression" dxfId="2" priority="107">
      <formula>AND(OR($G3="香港",$G3="Hong Kong",$G3="香港/Hong Kong"),OR($Q3="澳门",$Q3="中国澳门",$Q3="澳门特别行政区",$Q3="台湾",$Q3="中国台湾"),ISBLANK($Y3))</formula>
    </cfRule>
    <cfRule type="expression" dxfId="2" priority="108">
      <formula>AND(OR($G3="香港",$G3="Hong Kong",$G3="香港/Hong Kong"),OR($Q3="澳門",$Q3="中國澳門",$Q3="澳門特別行政區",$Q3="台灣",$Q3="中國台灣"),ISBLANK($Y3))</formula>
    </cfRule>
    <cfRule type="expression" dxfId="2" priority="109">
      <formula>AND(LEN($Z3)&lt;&gt;0,ISBLANK($Y3))</formula>
    </cfRule>
  </conditionalFormatting>
  <conditionalFormatting sqref="Z3:Z1000">
    <cfRule type="expression" dxfId="2" priority="90">
      <formula>AND(OR(RIGHT($Q3,8)="Province",RIGHT($Q3,4)="City",RIGHT($Q3,6)="County",RIGHT($Q3,8)="District",RIGHT($Q3,8)="Township"),ISBLANK($Z3))</formula>
    </cfRule>
    <cfRule type="expression" dxfId="2" priority="91">
      <formula>AND(OR(RIGHT($Q3,1)="省",RIGHT($Q3,1)="市",RIGHT($Q3,1)="区",RIGHT($Q3,1)="县",RIGHT($Q3,1)="镇",RIGHT($Q3,1)="乡"),ISBLANK($Z3))</formula>
    </cfRule>
    <cfRule type="expression" dxfId="2" priority="92">
      <formula>AND(OR(RIGHT($Q3,1)="省",RIGHT($Q3,1)="市",RIGHT($Q3,1)="區",RIGHT($Q3,1)="縣",RIGHT($Q3,1)="鎮",RIGHT($Q3,1)="鄉"),ISBLANK($Z3))</formula>
    </cfRule>
    <cfRule type="expression" dxfId="2" priority="93">
      <formula>AND(OR($G3="澳门",$G3="澳門",$G3="Macau",$G3="澳門/Macau"),OR($Q3="Hong Kong",$Q3="Hong Kong, China",$Q3="HK",$Q3="HKSAR",$Q3="Taiwan",$Q3="Taiwan, China"),ISBLANK($Z3))</formula>
    </cfRule>
    <cfRule type="expression" dxfId="2" priority="94">
      <formula>AND(OR($G3="澳门",$G3="澳門",$G3="Macau",$G3="澳門/Macau"),OR($Q3="香港",$Q3="中国香港",$Q3="香港特别行政区",$Q3="台湾",$Q3="中国台湾"),ISBLANK($Z3))</formula>
    </cfRule>
    <cfRule type="expression" dxfId="2" priority="95">
      <formula>AND(OR($G3="澳门",$G3="澳門",$G3="Macau",$G3="澳門/Macau"),OR($Q3="香港",$Q3="中國香港",$Q3="香港特別行政區",$Q3="台灣",$Q3="中國台灣"),ISBLANK($Z3))</formula>
    </cfRule>
    <cfRule type="expression" dxfId="2" priority="96">
      <formula>AND(OR($G3="香港",$G3="Hong Kong",$G3="香港/Hong Kong"),OR($Q3="Macau",$Q3="Macau, China",$Q3="Taiwan",$Q3="Taiwan, China"),ISBLANK($Z3))</formula>
    </cfRule>
    <cfRule type="expression" dxfId="2" priority="97">
      <formula>AND(OR($G3="香港",$G3="Hong Kong",$G3="香港/Hong Kong"),OR($Q3="澳门",$Q3="中国澳门",$Q3="澳门特别行政区",$Q3="台湾",$Q3="中国台湾"),ISBLANK($Z3))</formula>
    </cfRule>
    <cfRule type="expression" dxfId="2" priority="98">
      <formula>AND(OR($G3="香港",$G3="Hong Kong",$G3="香港/Hong Kong"),OR($Q3="澳門",$Q3="中國澳門",$Q3="澳門特別行政區",$Q3="台灣",$Q3="中國台灣"),ISBLANK($Z3))</formula>
    </cfRule>
    <cfRule type="expression" dxfId="2" priority="99">
      <formula>AND(LEN($Y3)&lt;&gt;0,ISBLANK($Z3))</formula>
    </cfRule>
  </conditionalFormatting>
  <conditionalFormatting sqref="AA3:AA1000">
    <cfRule type="expression" dxfId="2" priority="80">
      <formula>AND(OR(RIGHT($Q3,8)="Province",RIGHT($Q3,4)="City",RIGHT($Q3,6)="County",RIGHT($Q3,8)="District",RIGHT($Q3,8)="Township"),ISBLANK($AA3))</formula>
    </cfRule>
    <cfRule type="expression" dxfId="2" priority="81">
      <formula>AND(OR(RIGHT($Q3,1)="省",RIGHT($Q3,1)="市",RIGHT($Q3,1)="区",RIGHT($Q3,1)="县",RIGHT($Q3,1)="镇",RIGHT($Q3,1)="乡"),ISBLANK($AA3))</formula>
    </cfRule>
    <cfRule type="expression" dxfId="2" priority="82">
      <formula>AND(OR(RIGHT($Q3,1)="省",RIGHT($Q3,1)="市",RIGHT($Q3,1)="區",RIGHT($Q3,1)="縣",RIGHT($Q3,1)="鎮",RIGHT($Q3,1)="鄉"),ISBLANK($AA3))</formula>
    </cfRule>
    <cfRule type="expression" dxfId="2" priority="83">
      <formula>AND(OR($G3="澳门",$G3="澳門",$G3="Macau",$G3="澳門/Macau"),OR($Q3="Hong Kong",$Q3="Hong Kong, China",$Q3="HK",$Q3="HKSAR",$Q3="Taiwan",$Q3="Taiwan, China"),ISBLANK($AA3))</formula>
    </cfRule>
    <cfRule type="expression" dxfId="2" priority="84">
      <formula>AND(OR($G3="澳门",$G3="澳門",$G3="Macau",$G3="澳門/Macau"),OR($Q3="香港",$Q3="中国香港",$Q3="香港特别行政区",$Q3="台湾",$Q3="中国台湾"),ISBLANK($AA3))</formula>
    </cfRule>
    <cfRule type="expression" dxfId="2" priority="85">
      <formula>AND(OR($G3="澳门",$G3="澳門",$G3="Macau",$G3="澳門/Macau"),OR($Q3="香港",$Q3="中國香港",$Q3="香港特別行政區",$Q3="台灣",$Q3="中國台灣"),ISBLANK($AA3))</formula>
    </cfRule>
    <cfRule type="expression" dxfId="2" priority="86">
      <formula>AND(OR($G3="香港",$G3="Hong Kong",$G3="香港/Hong Kong"),OR($Q3="Macau",$Q3="Macau, China",$Q3="Taiwan",$Q3="Taiwan, China"),ISBLANK($AA3))</formula>
    </cfRule>
    <cfRule type="expression" dxfId="2" priority="87">
      <formula>AND(OR($G3="香港",$G3="Hong Kong",$G3="香港/Hong Kong"),OR($Q3="澳门",$Q3="中国澳门",$Q3="澳门特别行政区",$Q3="台湾",$Q3="中国台湾"),ISBLANK($AA3))</formula>
    </cfRule>
    <cfRule type="expression" dxfId="2" priority="88">
      <formula>AND(OR($G3="香港",$G3="Hong Kong",$G3="香港/Hong Kong"),OR($Q3="澳門",$Q3="中國澳門",$Q3="澳門特別行政區",$Q3="台灣",$Q3="中國台灣"),ISBLANK($AA3))</formula>
    </cfRule>
    <cfRule type="expression" dxfId="2" priority="89">
      <formula>AND(LEN($AB3)&lt;&gt;0,ISBLANK($AA3))</formula>
    </cfRule>
  </conditionalFormatting>
  <conditionalFormatting sqref="AB3:AB1000">
    <cfRule type="expression" dxfId="2" priority="70">
      <formula>AND(OR(RIGHT($Q3,8)="Province",RIGHT($Q3,4)="City",RIGHT($Q3,6)="County",RIGHT($Q3,8)="District",RIGHT($Q3,8)="Township"),ISBLANK($AB3))</formula>
    </cfRule>
    <cfRule type="expression" dxfId="2" priority="71">
      <formula>AND(OR(RIGHT($Q3,1)="省",RIGHT($Q3,1)="市",RIGHT($Q3,1)="区",RIGHT($Q3,1)="县",RIGHT($Q3,1)="镇",RIGHT($Q3,1)="乡"),ISBLANK($AB3))</formula>
    </cfRule>
    <cfRule type="expression" dxfId="2" priority="72">
      <formula>AND(OR(RIGHT($Q3,1)="省",RIGHT($Q3,1)="市",RIGHT($Q3,1)="區",RIGHT($Q3,1)="縣",RIGHT($Q3,1)="鎮",RIGHT($Q3,1)="鄉"),ISBLANK($AB3))</formula>
    </cfRule>
    <cfRule type="expression" dxfId="2" priority="73">
      <formula>AND(OR($G3="澳门",$G3="澳門",$G3="Macau",$G3="澳門/Macau"),OR($Q3="Hong Kong",$Q3="Hong Kong, China",$Q3="HK",$Q3="HKSAR",$Q3="Taiwan",$Q3="Taiwan, China"),ISBLANK($AB3))</formula>
    </cfRule>
    <cfRule type="expression" dxfId="2" priority="74">
      <formula>AND(OR($G3="澳门",$G3="澳門",$G3="Macau",$G3="澳門/Macau"),OR($Q3="香港",$Q3="中国香港",$Q3="香港特别行政区",$Q3="台湾",$Q3="中国台湾"),ISBLANK($AB3))</formula>
    </cfRule>
    <cfRule type="expression" dxfId="2" priority="75">
      <formula>AND(OR($G3="澳门",$G3="澳門",$G3="Macau",$G3="澳門/Macau"),OR($Q3="香港",$Q3="中國香港",$Q3="香港特別行政區",$Q3="台灣",$Q3="中國台灣"),ISBLANK($AB3))</formula>
    </cfRule>
    <cfRule type="expression" dxfId="2" priority="76">
      <formula>AND(OR($G3="香港",$G3="Hong Kong",$G3="香港/Hong Kong"),OR($Q3="Macau",$Q3="Macau, China",$Q3="Taiwan",$Q3="Taiwan, China"),ISBLANK($AB3))</formula>
    </cfRule>
    <cfRule type="expression" dxfId="2" priority="77">
      <formula>AND(OR($G3="香港",$G3="Hong Kong",$G3="香港/Hong Kong"),OR($Q3="澳门",$Q3="中国澳门",$Q3="澳门特别行政区",$Q3="台湾",$Q3="中国台湾"),ISBLANK($AB3))</formula>
    </cfRule>
    <cfRule type="expression" dxfId="2" priority="78">
      <formula>AND(OR($G3="香港",$G3="Hong Kong",$G3="香港/Hong Kong"),OR($Q3="澳門",$Q3="中國澳門",$Q3="澳門特別行政區",$Q3="台灣",$Q3="中國台灣"),ISBLANK($AB3))</formula>
    </cfRule>
    <cfRule type="expression" dxfId="2" priority="79">
      <formula>AND(LEN($AA3)&lt;&gt;0,ISBLANK($AB3))</formula>
    </cfRule>
  </conditionalFormatting>
  <conditionalFormatting sqref="AC3:AC1000">
    <cfRule type="expression" dxfId="2" priority="61">
      <formula>AND(OR(RIGHT($Q3,8)="Province",RIGHT($Q3,4)="City",RIGHT($Q3,6)="County",RIGHT($Q3,8)="District",RIGHT($Q3,8)="Township"),ISBLANK($AC3))</formula>
    </cfRule>
    <cfRule type="expression" dxfId="2" priority="62">
      <formula>AND(OR(RIGHT($Q3,1)="省",RIGHT($Q3,1)="市",RIGHT($Q3,1)="区",RIGHT($Q3,1)="县",RIGHT($Q3,1)="镇",RIGHT($Q3,1)="乡"),ISBLANK($AC3))</formula>
    </cfRule>
    <cfRule type="expression" dxfId="2" priority="63">
      <formula>AND(OR(RIGHT($Q3,1)="省",RIGHT($Q3,1)="市",RIGHT($Q3,1)="區",RIGHT($Q3,1)="縣",RIGHT($Q3,1)="鎮",RIGHT($Q3,1)="鄉"),ISBLANK($AC3))</formula>
    </cfRule>
    <cfRule type="expression" dxfId="2" priority="64">
      <formula>AND(OR($G3="澳门",$G3="澳門",$G3="Macau",$G3="澳門/Macau"),OR($Q3="Hong Kong",$Q3="Hong Kong, China",$Q3="HK",$Q3="HKSAR",$Q3="Taiwan",$Q3="Taiwan, China"),ISBLANK($AC3))</formula>
    </cfRule>
    <cfRule type="expression" dxfId="2" priority="65">
      <formula>AND(OR($G3="澳门",$G3="澳門",$G3="Macau",$G3="澳門/Macau"),OR($Q3="香港",$Q3="中国香港",$Q3="香港特别行政区",$Q3="台湾",$Q3="中国台湾"),ISBLANK($AC3))</formula>
    </cfRule>
    <cfRule type="expression" dxfId="2" priority="66">
      <formula>AND(OR($G3="澳门",$G3="澳門",$G3="Macau",$G3="澳門/Macau"),OR($Q3="香港",$Q3="中國香港",$Q3="香港特別行政區",$Q3="台灣",$Q3="中國台灣"),ISBLANK($AC3))</formula>
    </cfRule>
    <cfRule type="expression" dxfId="2" priority="67">
      <formula>AND(OR($G3="香港",$G3="Hong Kong",$G3="香港/Hong Kong"),OR($Q3="Macau",$Q3="Macau, China",$Q3="Taiwan",$Q3="Taiwan, China"),ISBLANK($AC3))</formula>
    </cfRule>
    <cfRule type="expression" dxfId="2" priority="68">
      <formula>AND(OR($G3="香港",$G3="Hong Kong",$G3="香港/Hong Kong"),OR($Q3="澳门",$Q3="中国澳门",$Q3="澳门特别行政区",$Q3="台湾",$Q3="中国台湾"),ISBLANK($AC3))</formula>
    </cfRule>
    <cfRule type="expression" dxfId="2" priority="69">
      <formula>AND(OR($G3="香港",$G3="Hong Kong",$G3="香港/Hong Kong"),OR($Q3="澳門",$Q3="中國澳門",$Q3="澳門特別行政區",$Q3="台灣",$Q3="中國台灣"),ISBLANK($AC3))</formula>
    </cfRule>
  </conditionalFormatting>
  <conditionalFormatting sqref="AD4:AD1000">
    <cfRule type="expression" dxfId="1" priority="44">
      <formula>AND(LEN($A3)&lt;&gt;0,LEN($A4)&lt;&gt;0,$A3=$A4)</formula>
    </cfRule>
  </conditionalFormatting>
  <conditionalFormatting sqref="AE4:AE1000">
    <cfRule type="expression" dxfId="1" priority="43">
      <formula>AND(LEN($A3)&lt;&gt;0,LEN($A4)&lt;&gt;0,$A3=$A4)</formula>
    </cfRule>
  </conditionalFormatting>
  <conditionalFormatting sqref="AF4:AF1000">
    <cfRule type="expression" dxfId="1" priority="18">
      <formula>AND(LEN($A3)&lt;&gt;0,LEN($A4)&lt;&gt;0,$A3=$A4)</formula>
    </cfRule>
  </conditionalFormatting>
  <conditionalFormatting sqref="AG4:AG1000">
    <cfRule type="expression" dxfId="1" priority="42">
      <formula>AND(LEN($A3)&lt;&gt;0,LEN($A4)&lt;&gt;0,$A3=$A4)</formula>
    </cfRule>
  </conditionalFormatting>
  <conditionalFormatting sqref="AH4:AH1000">
    <cfRule type="expression" dxfId="1" priority="41">
      <formula>AND(LEN($A3)&lt;&gt;0,LEN($A4)&lt;&gt;0,$A3=$A4)</formula>
    </cfRule>
  </conditionalFormatting>
  <conditionalFormatting sqref="AI3:AI1000">
    <cfRule type="expression" dxfId="2" priority="167">
      <formula>AND(OR(RIGHT($Q3,8)="Province",RIGHT($Q3,4)="City",RIGHT($Q3,6)="County",RIGHT($Q3,8)="District",RIGHT($Q3,8)="Township"),ISBLANK($AI3),ISBLANK($AJ3))</formula>
    </cfRule>
    <cfRule type="expression" dxfId="2" priority="168">
      <formula>AND(OR(RIGHT($Q3,1)="省",RIGHT($Q3,1)="市",RIGHT($Q3,1)="区",RIGHT($Q3,1)="县",RIGHT($Q3,1)="镇",RIGHT($Q3,1)="乡"),ISBLANK($AI3),ISBLANK($AJ3))</formula>
    </cfRule>
    <cfRule type="expression" dxfId="2" priority="169">
      <formula>AND(OR(RIGHT($Q3,1)="省",RIGHT($Q3,1)="市",RIGHT($Q3,1)="區",RIGHT($Q3,1)="縣",RIGHT($Q3,1)="鎮",RIGHT($Q3,1)="鄉"),ISBLANK($AI3),ISBLANK($AJ3))</formula>
    </cfRule>
    <cfRule type="expression" dxfId="2" priority="170">
      <formula>AND(OR($G3="澳门",$G3="澳門",$G3="Macau",$G3="澳門/Macau"),OR($Q3="香港",$Q3="中國香港",$Q3="香港特別行政區",$Q3="台灣",$Q3="中國台灣"),ISBLANK($AI3),ISBLANK($AJ3))</formula>
    </cfRule>
    <cfRule type="expression" dxfId="2" priority="171">
      <formula>AND(OR($G3="澳门",$G3="澳門",$G3="Macau",$G3="澳門/Macau"),OR($Q3="香港",$Q3="中国香港",$Q3="香港特别行政区",$Q3="台湾",$Q3="中国台湾"),ISBLANK($AI3),ISBLANK($AJ3))</formula>
    </cfRule>
    <cfRule type="expression" dxfId="2" priority="172">
      <formula>AND(OR($G3="澳门",$G3="澳門",$G3="Macau",$G3="澳門/Macau"),OR($Q3="Hong Kong",$Q3="Hong Kong, China",$Q3="HK",$Q3="HKSAR",$Q3="Taiwan",$Q3="Taiwan, China"),ISBLANK($AI3),ISBLANK($AJ3))</formula>
    </cfRule>
    <cfRule type="expression" dxfId="2" priority="173">
      <formula>AND(OR($G3="香港",$G3="Hong Kong",$G3="香港/Hong Kong"),OR($Q3="Macau",$Q3="Macau, China",$Q3="Taiwan",$Q3="Taiwan, China"),ISBLANK($AI3),ISBLANK($AJ3))</formula>
    </cfRule>
    <cfRule type="expression" dxfId="2" priority="174">
      <formula>AND(OR($G3="香港",$G3="Hong Kong",$G3="香港/Hong Kong"),OR($Q3="澳门",$Q3="中国澳门",$Q3="澳门特别行政区",$Q3="台湾",$Q3="中国台湾"),ISBLANK($AI3),ISBLANK($AJ3))</formula>
    </cfRule>
    <cfRule type="expression" dxfId="2" priority="175">
      <formula>AND(OR($G3="香港",$G3="Hong Kong",$G3="香港/Hong Kong"),OR($Q3="澳門",$Q3="中國澳門",$Q3="澳門特別行政區",$Q3="台灣",$Q3="中國台灣"),ISBLANK($AI3),ISBLANK($AJ3))</formula>
    </cfRule>
  </conditionalFormatting>
  <conditionalFormatting sqref="AI4:AI1000">
    <cfRule type="expression" dxfId="1" priority="166">
      <formula>AND(LEN($A3)&lt;&gt;0,LEN($A4)&lt;&gt;0,$A3=$A4)</formula>
    </cfRule>
  </conditionalFormatting>
  <conditionalFormatting sqref="AJ3:AJ1000">
    <cfRule type="expression" dxfId="1" priority="37">
      <formula>AND(OR($AI3="寄付現結/Pay by Sender",$AI3="寄付现结",$AI3="寄付現結",$AI3="Pay by Sender"),COUNTBLANK($AJ$3)=1)</formula>
    </cfRule>
    <cfRule type="expression" dxfId="2" priority="144">
      <formula>AND(OR(RIGHT($Q3,1)="省",RIGHT($Q3,1)="市",RIGHT($Q3,1)="區",RIGHT($Q3,1)="縣",RIGHT($Q3,1)="鎮",RIGHT($Q3,1)="鄉"),ISBLANK($AI3),ISBLANK($AJ3))</formula>
    </cfRule>
    <cfRule type="expression" dxfId="2" priority="145">
      <formula>AND(OR(RIGHT($Q3,1)="省",RIGHT($Q3,1)="市",RIGHT($Q3,1)="区",RIGHT($Q3,1)="县",RIGHT($Q3,1)="镇",RIGHT($Q3,1)="乡"),ISBLANK($AI3),ISBLANK($AJ3))</formula>
    </cfRule>
    <cfRule type="expression" dxfId="2" priority="146">
      <formula>AND(OR(RIGHT($Q3,8)="Province",RIGHT($Q3,4)="City",RIGHT($Q3,6)="County",RIGHT($Q3,8)="District",RIGHT($Q3,8)="Township"),ISBLANK($AI3),ISBLANK($AJ3))</formula>
    </cfRule>
    <cfRule type="expression" dxfId="2" priority="147">
      <formula>AND(OR($G3="澳门",$G3="澳門",$G3="Macau",$G3="澳門/Macau"),OR($Q3="Hong Kong",$Q3="Hong Kong, China",$Q3="HK",$Q3="HKSAR",$Q3="Taiwan",$Q3="Taiwan, China"),ISBLANK($AI3),ISBLANK($AJ3))</formula>
    </cfRule>
    <cfRule type="expression" dxfId="2" priority="148">
      <formula>AND(OR($G3="澳门",$G3="澳門",$G3="Macau",$G3="澳門/Macau"),OR($Q3="香港",$Q3="中国香港",$Q3="香港特别行政区",$Q3="台湾",$Q3="中国台湾"),ISBLANK($AI3),ISBLANK($AJ3))</formula>
    </cfRule>
    <cfRule type="expression" dxfId="2" priority="149">
      <formula>AND(OR($G3="澳门",$G3="澳門",$G3="Macau",$G3="澳門/Macau"),OR($Q3="香港",$Q3="中國香港",$Q3="香港特別行政區",$Q3="台灣",$Q3="中國台灣"),ISBLANK($AI3),ISBLANK($AJ3))</formula>
    </cfRule>
    <cfRule type="expression" dxfId="2" priority="150">
      <formula>AND(OR($G3="香港",$G3="Hong Kong",$G3="香港/Hong Kong"),OR($Q3="Macau",$Q3="Macau, China",$Q3="Taiwan",$Q3="Taiwan, China"),ISBLANK($AI3),ISBLANK($AJ3))</formula>
    </cfRule>
    <cfRule type="expression" dxfId="2" priority="151">
      <formula>AND(OR($G3="香港",$G3="Hong Kong",$G3="香港/Hong Kong"),OR($Q3="澳门",$Q3="中国澳门",$Q3="澳门特别行政区",$Q3="台湾",$Q3="中国台湾"),ISBLANK($AI3),ISBLANK($AJ3))</formula>
    </cfRule>
    <cfRule type="expression" dxfId="2" priority="152">
      <formula>AND(OR($G3="香港",$G3="Hong Kong",$G3="香港/Hong Kong"),OR($Q3="澳門",$Q3="中國澳門",$Q3="澳門特別行政區",$Q3="台灣",$Q3="中國台灣"),ISBLANK($AI3),ISBLANK($AJ3))</formula>
    </cfRule>
    <cfRule type="expression" dxfId="2" priority="153">
      <formula>AND(OR(RIGHT($Q3,1)="省",RIGHT($Q3,1)="市",RIGHT($Q3,1)="區",RIGHT($Q3,1)="縣",RIGHT($Q3,1)="鎮",RIGHT($Q3,1)="鄉"),OR($AI3="寄付月結/Pay by Sender (Credit Account)",$AI3="寄付月结",$AI3="寄付月結",$AI3="Pay by Sender (Credit Account)"),ISBLANK($AJ3))</formula>
    </cfRule>
    <cfRule type="expression" dxfId="2" priority="154">
      <formula>AND(OR(RIGHT($Q3,1)="省",RIGHT($Q3,1)="市",RIGHT($Q3,1)="区",RIGHT($Q3,1)="县",RIGHT($Q3,1)="镇",RIGHT($Q3,1)="乡"),OR($AI3="寄付月結/Pay by Sender (Credit Account)",$AI3="寄付月结",$AI3="寄付月結",$AI3="Pay by Sender (Credit Account)"),ISBLANK($AJ3))</formula>
    </cfRule>
    <cfRule type="expression" dxfId="2" priority="155">
      <formula>AND(OR(RIGHT($Q3,8)="Province",RIGHT($Q3,4)="City",RIGHT($Q3,6)="County",RIGHT($Q3,8)="District",RIGHT($Q3,8)="Township"),OR($AI3="寄付月結/Pay by Sender (Credit Account)",$AI3="寄付月结",$AI3="寄付月結",$AI3="Pay by Sender (Credit Account)"),ISBLANK($AJ3))</formula>
    </cfRule>
    <cfRule type="expression" dxfId="2" priority="156">
      <formula>AND(OR($G3="澳门",$G3="澳門",$G3="Macau",$G3="澳門/Macau"),OR($Q3="Hong Kong",$Q3="Hong Kong, China",$Q3="HK",$Q3="HKSAR",$Q3="Taiwan",$Q3="Taiwan, China"),OR($AI3="寄付月結/Pay by Sender (Credit Account)",$AI3="寄付月结",$AI3="寄付月結",$AI3="Pay by Sender (Credit Account)"),ISBLANK($AJ3))</formula>
    </cfRule>
    <cfRule type="expression" dxfId="2" priority="157">
      <formula>AND(OR($G3="澳门",$G3="澳門",$G3="Macau",$G3="澳門/Macau"),OR($Q3="香港",$Q3="中国香港",$Q3="香港特别行政区",$Q3="台湾",$Q3="中国台湾"),OR($AI3="寄付月結/Pay by Sender (Credit Account)",$AI3="寄付月结",$AI3="寄付月結",$AI3="Pay by Sender (Credit Account)"),ISBLANK($AJ3))</formula>
    </cfRule>
    <cfRule type="expression" dxfId="2" priority="158">
      <formula>AND(OR($G3="澳门",$G3="澳門",$G3="Macau",$G3="澳門/Macau"),OR($Q3="香港",$Q3="中國香港",$Q3="香港特別行政區",$Q3="台灣",$Q3="中國台灣"),OR($AI3="寄付月結/Pay by Sender (Credit Account)",$AI3="寄付月结",$AI3="寄付月結",$AI3="Pay by Sender (Credit Account)"),ISBLANK($AJ3))</formula>
    </cfRule>
    <cfRule type="expression" dxfId="2" priority="159">
      <formula>AND(OR($G3="香港",$G3="Hong Kong",$G3="香港/Hong Kong"),OR($Q3="Macau",$Q3="Macau, China",$Q3="Taiwan",$Q3="Taiwan, China"),OR($AI3="寄付月結/Pay by Sender (Credit Account)",$AI3="寄付月结",$AI3="寄付月結",$AI3="Pay by Sender (Credit Account)"),ISBLANK($AJ3))</formula>
    </cfRule>
    <cfRule type="expression" dxfId="2" priority="160">
      <formula>AND(OR($G3="香港",$G3="Hong Kong",$G3="香港/Hong Kong"),OR($Q3="澳门",$Q3="中国澳门",$Q3="澳门特别行政区",$Q3="台湾",$Q3="中国台湾"),OR($AI3="寄付月結/Pay by Sender (Credit Account)",$AI3="寄付月结",$AI3="寄付月結",$AI3="Pay by Sender (Credit Account)"),ISBLANK($AJ3))</formula>
    </cfRule>
    <cfRule type="expression" dxfId="2" priority="161">
      <formula>AND(OR($G3="香港",$G3="Hong Kong",$G3="香港/Hong Kong"),OR($Q3="澳門",$Q3="中國澳門",$Q3="澳門特別行政區",$Q3="台灣",$Q3="中國台灣"),OR($AI3="寄付月結/Pay by Sender (Credit Account)",$AI3="寄付月结",$AI3="寄付月結",$AI3="Pay by Sender (Credit Account)"),ISBLANK($AJ3))</formula>
    </cfRule>
    <cfRule type="expression" dxfId="1" priority="165">
      <formula>AND(OR($AI3="到付/Pay by Recipient",$AI3="到付",$AI3="Pay by Recipient"),COUNTBLANK($AJ$3)=1)</formula>
    </cfRule>
  </conditionalFormatting>
  <conditionalFormatting sqref="AJ4:AJ1000">
    <cfRule type="expression" dxfId="1" priority="143">
      <formula>AND(LEN($A3)&lt;&gt;0,LEN($A4)&lt;&gt;0,$A3=$A4)</formula>
    </cfRule>
  </conditionalFormatting>
  <conditionalFormatting sqref="AK3:AK1000">
    <cfRule type="expression" dxfId="4" priority="179">
      <formula>AND($AK3&lt;TODAY(),COUNTBLANK($AK3)=0)</formula>
    </cfRule>
    <cfRule type="expression" dxfId="4" priority="180">
      <formula>AND($AK3&gt;TODAY()+2,COUNTBLANK($AK3)=0)</formula>
    </cfRule>
    <cfRule type="expression" dxfId="2" priority="181">
      <formula>AND(COUNTBLANK($AK3)=1,COUNTBLANK($AL3)=0)</formula>
    </cfRule>
  </conditionalFormatting>
  <conditionalFormatting sqref="AK4:AK1000">
    <cfRule type="expression" dxfId="1" priority="178">
      <formula>AND(LEN($A3)&lt;&gt;0,LEN($A4)&lt;&gt;0,$A3=$A4)</formula>
    </cfRule>
  </conditionalFormatting>
  <conditionalFormatting sqref="AL3:AL1000">
    <cfRule type="expression" dxfId="2" priority="177">
      <formula>AND(COUNTBLANK($AK3)=0,COUNTBLANK($AL3)=1)</formula>
    </cfRule>
  </conditionalFormatting>
  <conditionalFormatting sqref="AL4:AL100">
    <cfRule type="expression" dxfId="1" priority="176">
      <formula>AND(LEN($A3)&lt;&gt;0,LEN($A4)&lt;&gt;0,$A3=$A4)</formula>
    </cfRule>
  </conditionalFormatting>
  <conditionalFormatting sqref="AM4:AM1000">
    <cfRule type="expression" dxfId="1" priority="60">
      <formula>AND(LEN($A3)&lt;&gt;0,LEN($A4)&lt;&gt;0,$A3=$A4)</formula>
    </cfRule>
  </conditionalFormatting>
  <conditionalFormatting sqref="AN4:AN1000">
    <cfRule type="expression" dxfId="1" priority="40">
      <formula>AND(LEN($A3)&lt;&gt;0,LEN($A4)&lt;&gt;0,$A3=$A4)</formula>
    </cfRule>
  </conditionalFormatting>
  <conditionalFormatting sqref="AO4:AO1000">
    <cfRule type="expression" dxfId="1" priority="39">
      <formula>AND(LEN($A3)&lt;&gt;0,LEN($A4)&lt;&gt;0,$A3=$A4)</formula>
    </cfRule>
  </conditionalFormatting>
  <conditionalFormatting sqref="AP3:AP1000">
    <cfRule type="expression" dxfId="2" priority="183">
      <formula>AND(COUNT(SEARCH(4,AO3))&lt;&gt;0,ISBLANK($AP3))</formula>
    </cfRule>
  </conditionalFormatting>
  <conditionalFormatting sqref="AP4:AP1000">
    <cfRule type="expression" dxfId="1" priority="182">
      <formula>AND(LEN($A3)&lt;&gt;0,LEN($A4)&lt;&gt;0,$A3=$A4)</formula>
    </cfRule>
  </conditionalFormatting>
  <conditionalFormatting sqref="AQ4:AQ1000">
    <cfRule type="expression" dxfId="1" priority="38">
      <formula>AND(LEN($A3)&lt;&gt;0,LEN($A4)&lt;&gt;0,$A3=$A4)</formula>
    </cfRule>
  </conditionalFormatting>
  <conditionalFormatting sqref="AR3:AR1000">
    <cfRule type="expression" dxfId="2" priority="186">
      <formula>AND(COUNTBLANK($AR3)=1,COUNTBLANK($AS3)=0)</formula>
    </cfRule>
  </conditionalFormatting>
  <conditionalFormatting sqref="AR4:AR1000">
    <cfRule type="expression" dxfId="1" priority="185">
      <formula>AND(LEN($A3)&lt;&gt;0,LEN($A4)&lt;&gt;0,$A3=$A4)</formula>
    </cfRule>
  </conditionalFormatting>
  <conditionalFormatting sqref="AS3:AS1000">
    <cfRule type="expression" dxfId="2" priority="31">
      <formula>AND(COUNTBLANK($AR3)=0,COUNTBLANK($AS3)=1)</formula>
    </cfRule>
  </conditionalFormatting>
  <conditionalFormatting sqref="AT3:AT1000">
    <cfRule type="expression" dxfId="2" priority="32">
      <formula>AND(OR($Q3="Macau",$Q3="Macau,China"),($AD3&gt;=20),ISBLANK($AT3))</formula>
    </cfRule>
    <cfRule type="expression" dxfId="2" priority="33">
      <formula>AND(OR($Q3="澳门",$Q3="中国澳门",$Q3="澳门特别行政区"),($AD3&gt;=20),ISBLANK($AT3))</formula>
    </cfRule>
    <cfRule type="expression" dxfId="2" priority="34">
      <formula>AND(OR($Q3="澳門",$Q3="中國澳門",$Q3="澳門特別行政區"),($AD3&gt;=20),ISBLANK($AT3))</formula>
    </cfRule>
    <cfRule type="expression" dxfId="2" priority="35">
      <formula>AND(OR($Q3="Hong Kong",$Q3="Hong Kong,China",$Q3="HK",$Q3="HKSAR"),($AD3&gt;=20),ISBLANK($AT3))</formula>
    </cfRule>
    <cfRule type="expression" dxfId="2" priority="36">
      <formula>AND(OR($Q3="香港",$Q3="中国香港",$Q3="香港特别行政区"),($AD3&gt;=20),ISBLANK($AT3))</formula>
    </cfRule>
    <cfRule type="expression" dxfId="2" priority="187">
      <formula>AND(OR($Q3="香港",$Q3="中國香港",$Q3="香港特別行政區"),($AD3&gt;=20),ISBLANK($AT3))</formula>
    </cfRule>
  </conditionalFormatting>
  <conditionalFormatting sqref="AU3:AU1000">
    <cfRule type="expression" dxfId="1" priority="20">
      <formula>COUNT(SEARCH("送貨上樓（無需行樓梯）/Upstairs Delivery (no climb stairs required)",$AT3))&lt;&gt;0</formula>
    </cfRule>
    <cfRule type="expression" dxfId="2" priority="21">
      <formula>AND(OR($AT3="送貨上樓（需行樓梯）",$AT3="Upstairs Delivery (climb stairs required)",$AT3="送貨上樓（需行樓梯）/Upstairs Delivery (climb stairs required)"),ISBLANK($AU3))</formula>
    </cfRule>
    <cfRule type="expression" dxfId="1" priority="22">
      <formula>COUNT(SEARCH("自提點/樓下自取/Self-pickup/Ground floor pickup",$AT3))&lt;&gt;0</formula>
    </cfRule>
  </conditionalFormatting>
  <conditionalFormatting sqref="AU4:AU1000">
    <cfRule type="expression" dxfId="1" priority="19">
      <formula>AND(LEN($A3)&lt;&gt;0,LEN($A4)&lt;&gt;0,$A3=$A4)</formula>
    </cfRule>
  </conditionalFormatting>
  <conditionalFormatting sqref="AV3:AV1000">
    <cfRule type="expression" dxfId="2" priority="5">
      <formula>AND($AW3&lt;&gt;"",$AV3="")</formula>
    </cfRule>
    <cfRule type="expression" dxfId="2" priority="3">
      <formula>AND($AX3&lt;&gt;"",$AV3="")</formula>
    </cfRule>
  </conditionalFormatting>
  <conditionalFormatting sqref="AV4:AV1000">
    <cfRule type="expression" dxfId="1" priority="12">
      <formula>AND(LEN($A3)&lt;&gt;0,LEN($A4)&lt;&gt;0,$A3=$A4)</formula>
    </cfRule>
  </conditionalFormatting>
  <conditionalFormatting sqref="AW3:AW1000">
    <cfRule type="expression" dxfId="1" priority="8">
      <formula>OR($AV3="不選擇",$AV3="不选择",$AV3="No card")</formula>
    </cfRule>
    <cfRule type="expression" dxfId="2" priority="7">
      <formula>AND($AV3&lt;&gt;"",$AW3="",NOT(OR($AV3="No card",$AV3="不选择",$AV3="不選擇")))</formula>
    </cfRule>
    <cfRule type="expression" dxfId="2" priority="2">
      <formula>AND($AX3&lt;&gt;"",$AW3="")</formula>
    </cfRule>
  </conditionalFormatting>
  <conditionalFormatting sqref="AW4:AW1000">
    <cfRule type="expression" dxfId="1" priority="11">
      <formula>AND(LEN($A3)&lt;&gt;0,LEN($A4)&lt;&gt;0,$A3=$A4)</formula>
    </cfRule>
  </conditionalFormatting>
  <conditionalFormatting sqref="AX3:AX1000">
    <cfRule type="expression" dxfId="1" priority="9">
      <formula>OR($AV3="不選擇",$AV3="不选择",$AV3="No card")</formula>
    </cfRule>
    <cfRule type="expression" dxfId="2" priority="6">
      <formula>AND($AV3&lt;&gt;"",$AX3="",NOT(OR($AV3="No card",$AV3="不选择",$AV3="不選擇")))</formula>
    </cfRule>
    <cfRule type="expression" dxfId="2" priority="4">
      <formula>AND($AW3&lt;&gt;"",$AX3="")</formula>
    </cfRule>
  </conditionalFormatting>
  <conditionalFormatting sqref="AX4:AX1000">
    <cfRule type="expression" dxfId="1" priority="10">
      <formula>AND(LEN($A3)&lt;&gt;0,LEN($A4)&lt;&gt;0,$A3=$A4)</formula>
    </cfRule>
  </conditionalFormatting>
  <conditionalFormatting sqref="AY3:AY1000">
    <cfRule type="expression" dxfId="4" priority="17">
      <formula>AND($AY3&lt;TODAY(),COUNTBLANK($AY3)=0)</formula>
    </cfRule>
    <cfRule type="expression" dxfId="4" priority="16">
      <formula>AND($AZ3&lt;&gt;"",$AY3="")</formula>
    </cfRule>
  </conditionalFormatting>
  <conditionalFormatting sqref="AY4:AY1000">
    <cfRule type="expression" dxfId="1" priority="15">
      <formula>AND(LEN($A3)&lt;&gt;0,LEN($A4)&lt;&gt;0,$A3=$A4)</formula>
    </cfRule>
  </conditionalFormatting>
  <conditionalFormatting sqref="AZ3:AZ1000">
    <cfRule type="expression" dxfId="2" priority="14">
      <formula>AND($AY3&lt;&gt;"",$AZ3="")</formula>
    </cfRule>
  </conditionalFormatting>
  <conditionalFormatting sqref="AZ4:AZ1000">
    <cfRule type="expression" dxfId="1" priority="13">
      <formula>AND(LEN($A3)&lt;&gt;0,LEN($A4)&lt;&gt;0,$A3=$A4)</formula>
    </cfRule>
  </conditionalFormatting>
  <conditionalFormatting sqref="BA4:BA1000">
    <cfRule type="expression" dxfId="1" priority="1">
      <formula>AND(LEN($A3)&lt;&gt;0,LEN($A4)&lt;&gt;0,$A3=$A4)</formula>
    </cfRule>
  </conditionalFormatting>
  <conditionalFormatting sqref="AS4:AT1000">
    <cfRule type="expression" dxfId="1" priority="184">
      <formula>AND(LEN($A3)&lt;&gt;0,LEN($A4)&lt;&gt;0,$A3=$A4)</formula>
    </cfRule>
  </conditionalFormatting>
  <dataValidations count="15">
    <dataValidation type="list" allowBlank="1" showInputMessage="1" showErrorMessage="1" sqref="AX1 AX3:AX1048576">
      <formula1>'元素 Info'!$O$2:$O$7</formula1>
    </dataValidation>
    <dataValidation type="list" allowBlank="1" showInputMessage="1" showErrorMessage="1" sqref="C1 C3:C1048547">
      <formula1>'元素 Info'!$B$2:$B$4</formula1>
    </dataValidation>
    <dataValidation type="list" allowBlank="1" showInputMessage="1" showErrorMessage="1" sqref="G1 G3 G4 G5:G1048547">
      <formula1>寄件方城市</formula1>
    </dataValidation>
    <dataValidation type="list" allowBlank="1" showInputMessage="1" showErrorMessage="1" sqref="L1 L3:L1048547">
      <formula1>'元素 Info'!$C$2:$C$5</formula1>
    </dataValidation>
    <dataValidation allowBlank="1" showInputMessage="1" showErrorMessage="1" sqref="W1:AC1 AG1 AH1:AJ1 AK1:AL1 C2 D2 E2 G2 H2 I2 J2 L2 M2 N2 P2 Q2 R2 S2 T2 V2 Z2 AB2 AC2 AG2 AH2 AI2 AJ2 AK2 AQ2 AT2 U1:U2 U101:U119 U120:U139 U140:U170 U171:U187 U188:U204 U205:U214 U215:U1048547"/>
    <dataValidation type="list" allowBlank="1" showInputMessage="1" showErrorMessage="1" sqref="AQ1 AQ3:AQ1048547">
      <formula1>'元素 Info'!$K$2</formula1>
    </dataValidation>
    <dataValidation type="list" allowBlank="1" showInputMessage="1" showErrorMessage="1" sqref="U3 U4:U91 U92:U100">
      <formula1>IF(O3&lt;&gt;"",'元素 Info'!$D$5,'元素 Info'!$D$2:$D$4)</formula1>
    </dataValidation>
    <dataValidation type="list" allowBlank="1" showInputMessage="1" showErrorMessage="1" sqref="AT1 AT3:AT1048576">
      <formula1>'元素 Info'!$M$2:$M$4</formula1>
    </dataValidation>
    <dataValidation type="list" allowBlank="1" showInputMessage="1" showErrorMessage="1" sqref="AG3 AG4:AG1048547">
      <formula1>'元素 Info'!$I$2:$I$17</formula1>
    </dataValidation>
    <dataValidation type="list" allowBlank="1" showInputMessage="1" showErrorMessage="1" sqref="Z3:Z1048547">
      <formula1>'元素 Info'!$E$2:$E$38</formula1>
    </dataValidation>
    <dataValidation type="list" allowBlank="1" showInputMessage="1" showErrorMessage="1" sqref="AB3:AB1048547">
      <formula1>'元素 Info'!$F$2:$F$12</formula1>
    </dataValidation>
    <dataValidation type="list" allowBlank="1" showInputMessage="1" showErrorMessage="1" sqref="AC3:AC1048547">
      <formula1>'元素 Info'!$G$2:$G$242</formula1>
    </dataValidation>
    <dataValidation type="list" allowBlank="1" showInputMessage="1" showErrorMessage="1" sqref="AH3:AH1048547">
      <formula1>'元素 Info'!$H$2:$H$4</formula1>
    </dataValidation>
    <dataValidation type="list" allowBlank="1" showInputMessage="1" showErrorMessage="1" sqref="AI3:AI1048547">
      <formula1>'元素 Info'!$J$2:$J$4</formula1>
    </dataValidation>
    <dataValidation type="list" allowBlank="1" showInputMessage="1" showErrorMessage="1" sqref="AK3:AK1048576">
      <formula1>'元素 Info'!$L$2:$L$4</formula1>
    </dataValidation>
  </dataValidations>
  <pageMargins left="0.7" right="0.7" top="0.75" bottom="0.75" header="0.3" footer="0.3"/>
  <pageSetup paperSize="9" orientation="portrait"/>
  <headerFooter/>
  <ignoredErrors>
    <ignoredError sqref="U1 U215:U1048547" listDataValidation="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3"/>
  <sheetViews>
    <sheetView topLeftCell="E1" workbookViewId="0">
      <pane ySplit="1" topLeftCell="A2" activePane="bottomLeft" state="frozen"/>
      <selection/>
      <selection pane="bottomLeft" activeCell="J17" sqref="J17"/>
    </sheetView>
  </sheetViews>
  <sheetFormatPr defaultColWidth="9" defaultRowHeight="16.5"/>
  <cols>
    <col min="1" max="1" width="22.625" style="9" customWidth="1"/>
    <col min="2" max="3" width="22.625" style="88" customWidth="1"/>
    <col min="4" max="4" width="35.625" style="9" customWidth="1"/>
    <col min="5" max="5" width="22.625" style="9" customWidth="1"/>
    <col min="6" max="6" width="22.625" style="89" customWidth="1"/>
    <col min="7" max="7" width="40.625" style="89" customWidth="1"/>
    <col min="8" max="8" width="38.25" style="9" customWidth="1"/>
    <col min="9" max="9" width="40.625" style="9" customWidth="1"/>
    <col min="10" max="10" width="37.5" style="9" customWidth="1"/>
    <col min="11" max="11" width="22.625" style="9" customWidth="1"/>
    <col min="12" max="12" width="22.625" style="90" customWidth="1"/>
    <col min="13" max="13" width="50.625" style="91" customWidth="1"/>
    <col min="14" max="14" width="45.625" style="91" customWidth="1"/>
    <col min="15" max="15" width="35.625" style="9" customWidth="1"/>
    <col min="16" max="16384" width="9" style="9"/>
  </cols>
  <sheetData>
    <row r="1" s="9" customFormat="1" ht="45" spans="1:15">
      <c r="A1" s="92" t="s">
        <v>56</v>
      </c>
      <c r="B1" s="4" t="s">
        <v>57</v>
      </c>
      <c r="C1" s="4" t="s">
        <v>58</v>
      </c>
      <c r="D1" s="92" t="s">
        <v>59</v>
      </c>
      <c r="E1" s="92" t="s">
        <v>60</v>
      </c>
      <c r="F1" s="92" t="s">
        <v>61</v>
      </c>
      <c r="G1" s="92" t="s">
        <v>62</v>
      </c>
      <c r="H1" s="92" t="s">
        <v>5</v>
      </c>
      <c r="I1" s="92" t="s">
        <v>63</v>
      </c>
      <c r="J1" s="92" t="s">
        <v>64</v>
      </c>
      <c r="K1" s="92" t="s">
        <v>65</v>
      </c>
      <c r="L1" s="96" t="s">
        <v>66</v>
      </c>
      <c r="M1" s="97" t="s">
        <v>67</v>
      </c>
      <c r="N1" s="97" t="s">
        <v>68</v>
      </c>
      <c r="O1" s="92" t="s">
        <v>69</v>
      </c>
    </row>
    <row r="2" spans="1:15">
      <c r="A2" s="89" t="s">
        <v>70</v>
      </c>
      <c r="B2" s="93">
        <v>852</v>
      </c>
      <c r="C2" s="93">
        <v>852</v>
      </c>
      <c r="D2" s="89" t="s">
        <v>71</v>
      </c>
      <c r="E2" s="89" t="s">
        <v>72</v>
      </c>
      <c r="F2" s="89" t="s">
        <v>73</v>
      </c>
      <c r="G2" s="89" t="s">
        <v>74</v>
      </c>
      <c r="H2" s="89" t="s">
        <v>75</v>
      </c>
      <c r="I2" s="89" t="s">
        <v>76</v>
      </c>
      <c r="J2" s="89" t="s">
        <v>75</v>
      </c>
      <c r="K2" s="89" t="s">
        <v>77</v>
      </c>
      <c r="L2" s="90">
        <f ca="1">TODAY()+0</f>
        <v>46139</v>
      </c>
      <c r="M2" s="91" t="s">
        <v>78</v>
      </c>
      <c r="N2" s="98" t="s">
        <v>79</v>
      </c>
      <c r="O2" s="9" t="s">
        <v>80</v>
      </c>
    </row>
    <row r="3" spans="1:15">
      <c r="A3" s="89" t="s">
        <v>81</v>
      </c>
      <c r="B3" s="93">
        <v>853</v>
      </c>
      <c r="C3" s="93">
        <v>853</v>
      </c>
      <c r="D3" s="89" t="s">
        <v>82</v>
      </c>
      <c r="E3" s="89" t="s">
        <v>83</v>
      </c>
      <c r="F3" s="89" t="s">
        <v>84</v>
      </c>
      <c r="G3" s="89" t="s">
        <v>85</v>
      </c>
      <c r="H3" s="89" t="s">
        <v>86</v>
      </c>
      <c r="I3" s="89" t="s">
        <v>87</v>
      </c>
      <c r="J3" s="89" t="s">
        <v>86</v>
      </c>
      <c r="K3" s="89"/>
      <c r="L3" s="90">
        <f ca="1">TODAY()+1</f>
        <v>46140</v>
      </c>
      <c r="M3" s="91" t="s">
        <v>88</v>
      </c>
      <c r="N3" s="99" t="s">
        <v>89</v>
      </c>
      <c r="O3" s="9" t="s">
        <v>90</v>
      </c>
    </row>
    <row r="4" spans="1:15">
      <c r="A4" s="89"/>
      <c r="B4" s="93">
        <v>86</v>
      </c>
      <c r="C4" s="93">
        <v>86</v>
      </c>
      <c r="D4" s="89" t="s">
        <v>91</v>
      </c>
      <c r="E4" s="89" t="s">
        <v>92</v>
      </c>
      <c r="F4" s="89" t="s">
        <v>93</v>
      </c>
      <c r="G4" s="89" t="s">
        <v>94</v>
      </c>
      <c r="H4" s="89" t="s">
        <v>95</v>
      </c>
      <c r="I4" s="89" t="s">
        <v>96</v>
      </c>
      <c r="J4" s="89" t="s">
        <v>95</v>
      </c>
      <c r="L4" s="90">
        <f ca="1">TODAY()+2</f>
        <v>46141</v>
      </c>
      <c r="M4" s="91" t="s">
        <v>97</v>
      </c>
      <c r="N4" s="100" t="s">
        <v>98</v>
      </c>
      <c r="O4" s="9" t="s">
        <v>99</v>
      </c>
    </row>
    <row r="5" spans="3:15">
      <c r="C5" s="93">
        <v>886</v>
      </c>
      <c r="D5" s="89" t="s">
        <v>100</v>
      </c>
      <c r="E5" s="89" t="s">
        <v>101</v>
      </c>
      <c r="F5" s="89" t="s">
        <v>102</v>
      </c>
      <c r="G5" s="89" t="s">
        <v>103</v>
      </c>
      <c r="H5" s="89"/>
      <c r="I5" s="89" t="s">
        <v>104</v>
      </c>
      <c r="N5" s="101"/>
      <c r="O5" s="9" t="s">
        <v>105</v>
      </c>
    </row>
    <row r="6" spans="3:15">
      <c r="C6" s="93"/>
      <c r="D6" s="89"/>
      <c r="E6" s="89" t="s">
        <v>106</v>
      </c>
      <c r="F6" s="89" t="s">
        <v>107</v>
      </c>
      <c r="G6" s="89" t="s">
        <v>108</v>
      </c>
      <c r="H6" s="89"/>
      <c r="I6" s="89" t="s">
        <v>109</v>
      </c>
      <c r="O6" s="9" t="s">
        <v>110</v>
      </c>
    </row>
    <row r="7" spans="3:15">
      <c r="C7" s="93"/>
      <c r="D7" s="89"/>
      <c r="E7" s="89" t="s">
        <v>111</v>
      </c>
      <c r="F7" s="89" t="s">
        <v>112</v>
      </c>
      <c r="G7" s="89" t="s">
        <v>113</v>
      </c>
      <c r="H7" s="89"/>
      <c r="I7" s="89" t="s">
        <v>114</v>
      </c>
      <c r="N7" s="98"/>
      <c r="O7" s="9" t="s">
        <v>115</v>
      </c>
    </row>
    <row r="8" spans="3:9">
      <c r="C8" s="93"/>
      <c r="D8" s="89"/>
      <c r="E8" s="89" t="s">
        <v>116</v>
      </c>
      <c r="F8" s="89" t="s">
        <v>117</v>
      </c>
      <c r="G8" s="89" t="s">
        <v>118</v>
      </c>
      <c r="H8" s="89"/>
      <c r="I8" s="89" t="s">
        <v>119</v>
      </c>
    </row>
    <row r="9" spans="3:9">
      <c r="C9" s="93"/>
      <c r="D9" s="89"/>
      <c r="E9" s="89" t="s">
        <v>120</v>
      </c>
      <c r="F9" s="89" t="s">
        <v>121</v>
      </c>
      <c r="G9" s="89" t="s">
        <v>122</v>
      </c>
      <c r="H9" s="89"/>
      <c r="I9" s="89" t="s">
        <v>123</v>
      </c>
    </row>
    <row r="10" spans="3:9">
      <c r="C10" s="93"/>
      <c r="D10" s="89"/>
      <c r="E10" s="89" t="s">
        <v>124</v>
      </c>
      <c r="F10" s="89" t="s">
        <v>125</v>
      </c>
      <c r="G10" s="89" t="s">
        <v>126</v>
      </c>
      <c r="H10" s="89"/>
      <c r="I10" s="89" t="s">
        <v>127</v>
      </c>
    </row>
    <row r="11" spans="3:9">
      <c r="C11" s="93"/>
      <c r="D11" s="89"/>
      <c r="E11" s="89" t="s">
        <v>128</v>
      </c>
      <c r="F11" s="89" t="s">
        <v>129</v>
      </c>
      <c r="G11" s="89" t="s">
        <v>130</v>
      </c>
      <c r="I11" s="9" t="s">
        <v>131</v>
      </c>
    </row>
    <row r="12" spans="3:9">
      <c r="C12" s="93"/>
      <c r="D12" s="89"/>
      <c r="E12" s="89" t="s">
        <v>132</v>
      </c>
      <c r="F12" s="89" t="s">
        <v>133</v>
      </c>
      <c r="G12" s="89" t="s">
        <v>134</v>
      </c>
      <c r="I12" s="9" t="s">
        <v>135</v>
      </c>
    </row>
    <row r="13" spans="3:9">
      <c r="C13" s="93"/>
      <c r="D13" s="89"/>
      <c r="E13" s="89" t="s">
        <v>136</v>
      </c>
      <c r="G13" s="89" t="s">
        <v>137</v>
      </c>
      <c r="I13" s="9" t="s">
        <v>138</v>
      </c>
    </row>
    <row r="14" spans="3:10">
      <c r="C14" s="93"/>
      <c r="D14" s="89"/>
      <c r="E14" s="89" t="s">
        <v>139</v>
      </c>
      <c r="G14" s="89" t="s">
        <v>140</v>
      </c>
      <c r="I14" s="9" t="s">
        <v>141</v>
      </c>
      <c r="J14" s="102"/>
    </row>
    <row r="15" spans="3:11">
      <c r="C15" s="93"/>
      <c r="D15" s="89"/>
      <c r="E15" s="89" t="s">
        <v>142</v>
      </c>
      <c r="G15" s="89" t="s">
        <v>143</v>
      </c>
      <c r="I15" s="9" t="s">
        <v>144</v>
      </c>
      <c r="K15" s="94"/>
    </row>
    <row r="16" spans="3:9">
      <c r="C16" s="93"/>
      <c r="D16" s="89"/>
      <c r="E16" s="89" t="s">
        <v>145</v>
      </c>
      <c r="G16" s="89" t="s">
        <v>146</v>
      </c>
      <c r="I16" s="9" t="s">
        <v>147</v>
      </c>
    </row>
    <row r="17" spans="3:9">
      <c r="C17" s="93"/>
      <c r="D17" s="89"/>
      <c r="E17" s="89" t="s">
        <v>148</v>
      </c>
      <c r="G17" s="89" t="s">
        <v>149</v>
      </c>
      <c r="I17" s="9" t="s">
        <v>150</v>
      </c>
    </row>
    <row r="18" spans="3:10">
      <c r="C18" s="93"/>
      <c r="D18" s="89"/>
      <c r="E18" s="89" t="s">
        <v>151</v>
      </c>
      <c r="G18" s="89" t="s">
        <v>152</v>
      </c>
      <c r="I18" s="94"/>
      <c r="J18" s="102"/>
    </row>
    <row r="19" spans="3:9">
      <c r="C19" s="93"/>
      <c r="D19" s="89"/>
      <c r="E19" s="89" t="s">
        <v>153</v>
      </c>
      <c r="G19" s="89" t="s">
        <v>154</v>
      </c>
      <c r="I19" s="94"/>
    </row>
    <row r="20" spans="3:11">
      <c r="C20" s="93"/>
      <c r="D20" s="89"/>
      <c r="E20" s="89" t="s">
        <v>155</v>
      </c>
      <c r="G20" s="89" t="s">
        <v>156</v>
      </c>
      <c r="I20" s="102"/>
      <c r="K20" s="102"/>
    </row>
    <row r="21" spans="3:9">
      <c r="C21" s="93"/>
      <c r="D21" s="89"/>
      <c r="E21" s="89" t="s">
        <v>157</v>
      </c>
      <c r="G21" s="89" t="s">
        <v>158</v>
      </c>
      <c r="I21" s="94"/>
    </row>
    <row r="22" spans="3:9">
      <c r="C22" s="93"/>
      <c r="D22" s="89"/>
      <c r="E22" s="89" t="s">
        <v>159</v>
      </c>
      <c r="G22" s="89" t="s">
        <v>160</v>
      </c>
      <c r="I22" s="94"/>
    </row>
    <row r="23" spans="3:10">
      <c r="C23" s="93"/>
      <c r="D23" s="89"/>
      <c r="E23" s="89" t="s">
        <v>161</v>
      </c>
      <c r="G23" s="89" t="s">
        <v>162</v>
      </c>
      <c r="I23" s="94"/>
      <c r="J23" s="102"/>
    </row>
    <row r="24" spans="3:9">
      <c r="C24" s="93"/>
      <c r="D24" s="89"/>
      <c r="E24" s="89" t="s">
        <v>163</v>
      </c>
      <c r="G24" s="89" t="s">
        <v>164</v>
      </c>
      <c r="I24" s="94"/>
    </row>
    <row r="25" spans="3:10">
      <c r="C25" s="93"/>
      <c r="D25" s="89"/>
      <c r="E25" s="89" t="s">
        <v>165</v>
      </c>
      <c r="G25" s="89" t="s">
        <v>166</v>
      </c>
      <c r="I25" s="94"/>
      <c r="J25" s="103"/>
    </row>
    <row r="26" spans="3:10">
      <c r="C26" s="93"/>
      <c r="D26" s="89"/>
      <c r="E26" s="89" t="s">
        <v>167</v>
      </c>
      <c r="G26" s="89" t="s">
        <v>168</v>
      </c>
      <c r="I26" s="94"/>
      <c r="J26" s="103"/>
    </row>
    <row r="27" spans="3:9">
      <c r="C27" s="93"/>
      <c r="D27" s="89"/>
      <c r="E27" s="89" t="s">
        <v>169</v>
      </c>
      <c r="G27" s="89" t="s">
        <v>170</v>
      </c>
      <c r="I27" s="94"/>
    </row>
    <row r="28" spans="3:10">
      <c r="C28" s="93"/>
      <c r="D28" s="89"/>
      <c r="E28" s="89" t="s">
        <v>171</v>
      </c>
      <c r="G28" s="89" t="s">
        <v>172</v>
      </c>
      <c r="I28" s="94"/>
      <c r="J28" s="103"/>
    </row>
    <row r="29" spans="3:10">
      <c r="C29" s="93"/>
      <c r="D29" s="89"/>
      <c r="E29" s="89" t="s">
        <v>173</v>
      </c>
      <c r="G29" s="89" t="s">
        <v>174</v>
      </c>
      <c r="I29" s="94"/>
      <c r="J29" s="103"/>
    </row>
    <row r="30" spans="3:7">
      <c r="C30" s="93"/>
      <c r="D30" s="89"/>
      <c r="E30" s="89" t="s">
        <v>175</v>
      </c>
      <c r="G30" s="89" t="s">
        <v>176</v>
      </c>
    </row>
    <row r="31" spans="3:9">
      <c r="C31" s="93"/>
      <c r="D31" s="89"/>
      <c r="E31" s="89" t="s">
        <v>177</v>
      </c>
      <c r="G31" s="89" t="s">
        <v>178</v>
      </c>
      <c r="I31" s="94"/>
    </row>
    <row r="32" spans="3:9">
      <c r="C32" s="93"/>
      <c r="D32" s="94"/>
      <c r="E32" s="89" t="s">
        <v>179</v>
      </c>
      <c r="G32" s="95" t="s">
        <v>180</v>
      </c>
      <c r="I32" s="94"/>
    </row>
    <row r="33" spans="3:10">
      <c r="C33" s="93"/>
      <c r="D33" s="94"/>
      <c r="E33" s="89" t="s">
        <v>181</v>
      </c>
      <c r="G33" s="95" t="s">
        <v>182</v>
      </c>
      <c r="I33" s="94"/>
      <c r="J33" s="94"/>
    </row>
    <row r="34" spans="3:10">
      <c r="C34" s="93"/>
      <c r="D34" s="94"/>
      <c r="E34" s="89" t="s">
        <v>183</v>
      </c>
      <c r="G34" s="89" t="s">
        <v>184</v>
      </c>
      <c r="I34" s="94"/>
      <c r="J34" s="104"/>
    </row>
    <row r="35" spans="3:10">
      <c r="C35" s="93"/>
      <c r="D35" s="94"/>
      <c r="E35" s="89" t="s">
        <v>185</v>
      </c>
      <c r="G35" s="89" t="s">
        <v>186</v>
      </c>
      <c r="I35" s="94"/>
      <c r="J35" s="104"/>
    </row>
    <row r="36" spans="3:10">
      <c r="C36" s="93"/>
      <c r="D36" s="94"/>
      <c r="E36" s="89" t="s">
        <v>187</v>
      </c>
      <c r="G36" s="89" t="s">
        <v>188</v>
      </c>
      <c r="I36" s="94"/>
      <c r="J36" s="104"/>
    </row>
    <row r="37" spans="3:10">
      <c r="C37" s="93"/>
      <c r="D37" s="94"/>
      <c r="E37" s="89" t="s">
        <v>189</v>
      </c>
      <c r="F37" s="94"/>
      <c r="G37" s="89" t="s">
        <v>190</v>
      </c>
      <c r="I37" s="94"/>
      <c r="J37" s="104"/>
    </row>
    <row r="38" spans="3:10">
      <c r="C38" s="93"/>
      <c r="D38" s="89"/>
      <c r="E38" s="89" t="s">
        <v>191</v>
      </c>
      <c r="G38" s="89" t="s">
        <v>192</v>
      </c>
      <c r="I38" s="94"/>
      <c r="J38" s="104"/>
    </row>
    <row r="39" spans="7:10">
      <c r="G39" s="89" t="s">
        <v>193</v>
      </c>
      <c r="J39" s="104"/>
    </row>
    <row r="40" spans="7:9">
      <c r="G40" s="89" t="s">
        <v>194</v>
      </c>
      <c r="I40" s="94"/>
    </row>
    <row r="41" spans="7:9">
      <c r="G41" s="89" t="s">
        <v>195</v>
      </c>
      <c r="I41" s="94"/>
    </row>
    <row r="42" spans="7:9">
      <c r="G42" s="95" t="s">
        <v>196</v>
      </c>
      <c r="I42" s="94"/>
    </row>
    <row r="43" spans="7:9">
      <c r="G43" s="89" t="s">
        <v>197</v>
      </c>
      <c r="I43" s="94"/>
    </row>
    <row r="44" spans="7:7">
      <c r="G44" s="89" t="s">
        <v>198</v>
      </c>
    </row>
    <row r="45" spans="7:9">
      <c r="G45" s="89" t="s">
        <v>199</v>
      </c>
      <c r="I45" s="94"/>
    </row>
    <row r="46" spans="7:9">
      <c r="G46" s="89" t="s">
        <v>200</v>
      </c>
      <c r="I46" s="94"/>
    </row>
    <row r="47" spans="7:9">
      <c r="G47" s="95" t="s">
        <v>201</v>
      </c>
      <c r="I47" s="94"/>
    </row>
    <row r="48" spans="7:9">
      <c r="G48" s="89" t="s">
        <v>202</v>
      </c>
      <c r="I48" s="94"/>
    </row>
    <row r="49" spans="7:9">
      <c r="G49" s="89" t="s">
        <v>203</v>
      </c>
      <c r="I49" s="94"/>
    </row>
    <row r="50" spans="7:9">
      <c r="G50" s="89" t="s">
        <v>204</v>
      </c>
      <c r="I50" s="94"/>
    </row>
    <row r="51" spans="7:9">
      <c r="G51" s="89" t="s">
        <v>205</v>
      </c>
      <c r="I51" s="94"/>
    </row>
    <row r="52" spans="7:9">
      <c r="G52" s="89" t="s">
        <v>206</v>
      </c>
      <c r="I52" s="94"/>
    </row>
    <row r="53" spans="7:9">
      <c r="G53" s="95" t="s">
        <v>207</v>
      </c>
      <c r="I53" s="94"/>
    </row>
    <row r="54" spans="7:9">
      <c r="G54" s="89" t="s">
        <v>208</v>
      </c>
      <c r="I54" s="94"/>
    </row>
    <row r="55" spans="7:9">
      <c r="G55" s="89" t="s">
        <v>209</v>
      </c>
      <c r="I55" s="94"/>
    </row>
    <row r="56" spans="7:9">
      <c r="G56" s="89" t="s">
        <v>210</v>
      </c>
      <c r="I56" s="94"/>
    </row>
    <row r="57" spans="7:9">
      <c r="G57" s="89" t="s">
        <v>211</v>
      </c>
      <c r="I57" s="94"/>
    </row>
    <row r="58" spans="7:9">
      <c r="G58" s="89" t="s">
        <v>212</v>
      </c>
      <c r="I58" s="94"/>
    </row>
    <row r="59" spans="7:9">
      <c r="G59" s="89" t="s">
        <v>213</v>
      </c>
      <c r="I59" s="94"/>
    </row>
    <row r="60" spans="7:9">
      <c r="G60" s="89" t="s">
        <v>214</v>
      </c>
      <c r="I60" s="94"/>
    </row>
    <row r="61" spans="7:9">
      <c r="G61" s="89" t="s">
        <v>215</v>
      </c>
      <c r="I61" s="94"/>
    </row>
    <row r="62" spans="7:9">
      <c r="G62" s="89" t="s">
        <v>216</v>
      </c>
      <c r="I62" s="94"/>
    </row>
    <row r="63" spans="7:7">
      <c r="G63" s="95" t="s">
        <v>217</v>
      </c>
    </row>
    <row r="64" spans="7:9">
      <c r="G64" s="89" t="s">
        <v>218</v>
      </c>
      <c r="I64" s="94"/>
    </row>
    <row r="65" spans="7:9">
      <c r="G65" s="89" t="s">
        <v>219</v>
      </c>
      <c r="I65" s="94"/>
    </row>
    <row r="66" spans="7:9">
      <c r="G66" s="89" t="s">
        <v>220</v>
      </c>
      <c r="I66" s="94"/>
    </row>
    <row r="67" spans="7:9">
      <c r="G67" s="89" t="s">
        <v>221</v>
      </c>
      <c r="I67" s="94"/>
    </row>
    <row r="68" spans="7:9">
      <c r="G68" s="89" t="s">
        <v>222</v>
      </c>
      <c r="I68" s="94"/>
    </row>
    <row r="69" spans="7:9">
      <c r="G69" s="89" t="s">
        <v>223</v>
      </c>
      <c r="I69" s="94"/>
    </row>
    <row r="70" spans="7:9">
      <c r="G70" s="89" t="s">
        <v>224</v>
      </c>
      <c r="I70" s="94"/>
    </row>
    <row r="71" spans="7:9">
      <c r="G71" s="89" t="s">
        <v>225</v>
      </c>
      <c r="I71" s="94"/>
    </row>
    <row r="72" spans="7:9">
      <c r="G72" s="89" t="s">
        <v>226</v>
      </c>
      <c r="I72" s="94"/>
    </row>
    <row r="73" spans="7:9">
      <c r="G73" s="89" t="s">
        <v>227</v>
      </c>
      <c r="I73" s="94"/>
    </row>
    <row r="74" spans="7:9">
      <c r="G74" s="89" t="s">
        <v>228</v>
      </c>
      <c r="I74" s="94"/>
    </row>
    <row r="75" spans="7:9">
      <c r="G75" s="89" t="s">
        <v>229</v>
      </c>
      <c r="I75" s="94"/>
    </row>
    <row r="76" spans="7:9">
      <c r="G76" s="89" t="s">
        <v>230</v>
      </c>
      <c r="I76" s="94"/>
    </row>
    <row r="77" spans="7:9">
      <c r="G77" s="89" t="s">
        <v>231</v>
      </c>
      <c r="I77" s="94"/>
    </row>
    <row r="78" spans="7:9">
      <c r="G78" s="89" t="s">
        <v>232</v>
      </c>
      <c r="I78" s="94"/>
    </row>
    <row r="79" spans="7:7">
      <c r="G79" s="89" t="s">
        <v>233</v>
      </c>
    </row>
    <row r="80" spans="7:7">
      <c r="G80" s="89" t="s">
        <v>234</v>
      </c>
    </row>
    <row r="81" spans="7:7">
      <c r="G81" s="89" t="s">
        <v>235</v>
      </c>
    </row>
    <row r="82" spans="7:7">
      <c r="G82" s="89" t="s">
        <v>236</v>
      </c>
    </row>
    <row r="83" spans="7:7">
      <c r="G83" s="89" t="s">
        <v>237</v>
      </c>
    </row>
    <row r="84" spans="7:7">
      <c r="G84" s="89" t="s">
        <v>238</v>
      </c>
    </row>
    <row r="85" spans="7:7">
      <c r="G85" s="89" t="s">
        <v>239</v>
      </c>
    </row>
    <row r="86" spans="7:7">
      <c r="G86" s="89" t="s">
        <v>240</v>
      </c>
    </row>
    <row r="87" spans="7:7">
      <c r="G87" s="89" t="s">
        <v>241</v>
      </c>
    </row>
    <row r="88" spans="7:7">
      <c r="G88" s="89" t="s">
        <v>242</v>
      </c>
    </row>
    <row r="89" spans="7:7">
      <c r="G89" s="89" t="s">
        <v>243</v>
      </c>
    </row>
    <row r="90" spans="7:7">
      <c r="G90" s="89" t="s">
        <v>244</v>
      </c>
    </row>
    <row r="91" spans="7:7">
      <c r="G91" s="89" t="s">
        <v>245</v>
      </c>
    </row>
    <row r="92" spans="7:7">
      <c r="G92" s="89" t="s">
        <v>246</v>
      </c>
    </row>
    <row r="93" spans="7:7">
      <c r="G93" s="89" t="s">
        <v>247</v>
      </c>
    </row>
    <row r="94" spans="7:7">
      <c r="G94" s="89" t="s">
        <v>248</v>
      </c>
    </row>
    <row r="95" spans="7:7">
      <c r="G95" s="89" t="s">
        <v>249</v>
      </c>
    </row>
    <row r="96" spans="7:7">
      <c r="G96" s="89" t="s">
        <v>250</v>
      </c>
    </row>
    <row r="97" spans="7:8">
      <c r="G97" s="89" t="s">
        <v>251</v>
      </c>
      <c r="H97" s="94"/>
    </row>
    <row r="98" spans="7:7">
      <c r="G98" s="89" t="s">
        <v>252</v>
      </c>
    </row>
    <row r="99" spans="7:7">
      <c r="G99" s="89" t="s">
        <v>253</v>
      </c>
    </row>
    <row r="100" spans="7:7">
      <c r="G100" s="89" t="s">
        <v>254</v>
      </c>
    </row>
    <row r="101" spans="7:7">
      <c r="G101" s="89" t="s">
        <v>255</v>
      </c>
    </row>
    <row r="102" spans="7:7">
      <c r="G102" s="95" t="s">
        <v>256</v>
      </c>
    </row>
    <row r="103" spans="7:7">
      <c r="G103" s="89" t="s">
        <v>257</v>
      </c>
    </row>
    <row r="104" spans="7:7">
      <c r="G104" s="89" t="s">
        <v>258</v>
      </c>
    </row>
    <row r="105" spans="7:7">
      <c r="G105" s="89" t="s">
        <v>259</v>
      </c>
    </row>
    <row r="106" spans="7:7">
      <c r="G106" s="95" t="s">
        <v>260</v>
      </c>
    </row>
    <row r="107" spans="7:7">
      <c r="G107" s="89" t="s">
        <v>261</v>
      </c>
    </row>
    <row r="108" spans="7:7">
      <c r="G108" s="95" t="s">
        <v>262</v>
      </c>
    </row>
    <row r="109" spans="7:7">
      <c r="G109" s="89" t="s">
        <v>263</v>
      </c>
    </row>
    <row r="110" spans="7:7">
      <c r="G110" s="89" t="s">
        <v>264</v>
      </c>
    </row>
    <row r="111" spans="7:8">
      <c r="G111" s="89" t="s">
        <v>265</v>
      </c>
      <c r="H111" s="94"/>
    </row>
    <row r="112" spans="7:8">
      <c r="G112" s="89" t="s">
        <v>266</v>
      </c>
      <c r="H112" s="94"/>
    </row>
    <row r="113" spans="7:8">
      <c r="G113" s="89" t="s">
        <v>267</v>
      </c>
      <c r="H113" s="94"/>
    </row>
    <row r="114" spans="7:8">
      <c r="G114" s="89" t="s">
        <v>268</v>
      </c>
      <c r="H114" s="94"/>
    </row>
    <row r="115" spans="7:8">
      <c r="G115" s="89" t="s">
        <v>269</v>
      </c>
      <c r="H115" s="94"/>
    </row>
    <row r="116" spans="7:8">
      <c r="G116" s="95" t="s">
        <v>270</v>
      </c>
      <c r="H116" s="94"/>
    </row>
    <row r="117" spans="7:8">
      <c r="G117" s="89" t="s">
        <v>271</v>
      </c>
      <c r="H117" s="94"/>
    </row>
    <row r="118" spans="7:7">
      <c r="G118" s="89" t="s">
        <v>272</v>
      </c>
    </row>
    <row r="119" spans="7:8">
      <c r="G119" s="89" t="s">
        <v>273</v>
      </c>
      <c r="H119" s="94"/>
    </row>
    <row r="120" spans="7:7">
      <c r="G120" s="89" t="s">
        <v>274</v>
      </c>
    </row>
    <row r="121" spans="7:9">
      <c r="G121" s="89" t="s">
        <v>275</v>
      </c>
      <c r="I121" s="94"/>
    </row>
    <row r="122" spans="7:7">
      <c r="G122" s="89" t="s">
        <v>276</v>
      </c>
    </row>
    <row r="123" spans="7:7">
      <c r="G123" s="89" t="s">
        <v>277</v>
      </c>
    </row>
    <row r="124" spans="7:7">
      <c r="G124" s="89" t="s">
        <v>278</v>
      </c>
    </row>
    <row r="125" spans="7:7">
      <c r="G125" s="89" t="s">
        <v>279</v>
      </c>
    </row>
    <row r="126" spans="7:7">
      <c r="G126" s="89" t="s">
        <v>280</v>
      </c>
    </row>
    <row r="127" spans="7:7">
      <c r="G127" s="89" t="s">
        <v>281</v>
      </c>
    </row>
    <row r="128" spans="7:7">
      <c r="G128" s="89" t="s">
        <v>282</v>
      </c>
    </row>
    <row r="129" spans="7:7">
      <c r="G129" s="89" t="s">
        <v>283</v>
      </c>
    </row>
    <row r="130" spans="7:8">
      <c r="G130" s="89" t="s">
        <v>284</v>
      </c>
      <c r="H130" s="94"/>
    </row>
    <row r="131" spans="7:8">
      <c r="G131" s="89" t="s">
        <v>285</v>
      </c>
      <c r="H131" s="94"/>
    </row>
    <row r="132" spans="7:8">
      <c r="G132" s="89" t="s">
        <v>286</v>
      </c>
      <c r="H132" s="94"/>
    </row>
    <row r="133" spans="7:8">
      <c r="G133" s="89" t="s">
        <v>287</v>
      </c>
      <c r="H133" s="94"/>
    </row>
    <row r="134" spans="7:8">
      <c r="G134" s="89" t="s">
        <v>288</v>
      </c>
      <c r="H134" s="94"/>
    </row>
    <row r="135" spans="7:8">
      <c r="G135" s="89" t="s">
        <v>289</v>
      </c>
      <c r="H135" s="94"/>
    </row>
    <row r="136" spans="7:8">
      <c r="G136" s="89" t="s">
        <v>290</v>
      </c>
      <c r="H136" s="94"/>
    </row>
    <row r="137" spans="7:8">
      <c r="G137" s="89" t="s">
        <v>291</v>
      </c>
      <c r="H137" s="94"/>
    </row>
    <row r="138" spans="7:8">
      <c r="G138" s="89" t="s">
        <v>292</v>
      </c>
      <c r="H138" s="94"/>
    </row>
    <row r="139" spans="7:8">
      <c r="G139" s="89" t="s">
        <v>293</v>
      </c>
      <c r="H139" s="94"/>
    </row>
    <row r="140" spans="7:8">
      <c r="G140" s="89" t="s">
        <v>294</v>
      </c>
      <c r="H140" s="94"/>
    </row>
    <row r="141" spans="7:8">
      <c r="G141" s="89" t="s">
        <v>295</v>
      </c>
      <c r="H141" s="94"/>
    </row>
    <row r="142" spans="7:8">
      <c r="G142" s="89" t="s">
        <v>296</v>
      </c>
      <c r="H142" s="94"/>
    </row>
    <row r="143" spans="7:8">
      <c r="G143" s="89" t="s">
        <v>297</v>
      </c>
      <c r="H143" s="94"/>
    </row>
    <row r="144" spans="7:8">
      <c r="G144" s="89" t="s">
        <v>298</v>
      </c>
      <c r="H144" s="94"/>
    </row>
    <row r="145" spans="7:8">
      <c r="G145" s="89" t="s">
        <v>299</v>
      </c>
      <c r="H145" s="94"/>
    </row>
    <row r="146" spans="7:8">
      <c r="G146" s="89" t="s">
        <v>300</v>
      </c>
      <c r="H146" s="94"/>
    </row>
    <row r="147" spans="7:8">
      <c r="G147" s="89" t="s">
        <v>301</v>
      </c>
      <c r="H147" s="94"/>
    </row>
    <row r="148" spans="7:8">
      <c r="G148" s="89" t="s">
        <v>302</v>
      </c>
      <c r="H148" s="94"/>
    </row>
    <row r="149" spans="7:8">
      <c r="G149" s="89" t="s">
        <v>303</v>
      </c>
      <c r="H149" s="94"/>
    </row>
    <row r="150" spans="7:8">
      <c r="G150" s="89" t="s">
        <v>304</v>
      </c>
      <c r="H150" s="94"/>
    </row>
    <row r="151" spans="7:8">
      <c r="G151" s="89" t="s">
        <v>305</v>
      </c>
      <c r="H151" s="94"/>
    </row>
    <row r="152" spans="7:8">
      <c r="G152" s="95" t="s">
        <v>306</v>
      </c>
      <c r="H152" s="94"/>
    </row>
    <row r="153" spans="7:8">
      <c r="G153" s="89" t="s">
        <v>307</v>
      </c>
      <c r="H153" s="94"/>
    </row>
    <row r="154" spans="7:8">
      <c r="G154" s="89" t="s">
        <v>308</v>
      </c>
      <c r="H154" s="94"/>
    </row>
    <row r="155" spans="7:8">
      <c r="G155" s="89" t="s">
        <v>309</v>
      </c>
      <c r="H155" s="94"/>
    </row>
    <row r="156" spans="7:7">
      <c r="G156" s="89" t="s">
        <v>310</v>
      </c>
    </row>
    <row r="157" spans="7:8">
      <c r="G157" s="95" t="s">
        <v>311</v>
      </c>
      <c r="H157" s="94"/>
    </row>
    <row r="158" spans="7:8">
      <c r="G158" s="89" t="s">
        <v>312</v>
      </c>
      <c r="H158" s="94"/>
    </row>
    <row r="159" spans="7:8">
      <c r="G159" s="89" t="s">
        <v>313</v>
      </c>
      <c r="H159" s="94"/>
    </row>
    <row r="160" spans="7:8">
      <c r="G160" s="89" t="s">
        <v>314</v>
      </c>
      <c r="H160" s="94"/>
    </row>
    <row r="161" spans="7:8">
      <c r="G161" s="89" t="s">
        <v>315</v>
      </c>
      <c r="H161" s="94"/>
    </row>
    <row r="162" spans="7:8">
      <c r="G162" s="89" t="s">
        <v>316</v>
      </c>
      <c r="H162" s="94"/>
    </row>
    <row r="163" spans="7:7">
      <c r="G163" s="89" t="s">
        <v>317</v>
      </c>
    </row>
    <row r="164" spans="7:7">
      <c r="G164" s="89" t="s">
        <v>318</v>
      </c>
    </row>
    <row r="165" spans="7:8">
      <c r="G165" s="89" t="s">
        <v>319</v>
      </c>
      <c r="H165" s="94"/>
    </row>
    <row r="166" spans="7:8">
      <c r="G166" s="89" t="s">
        <v>320</v>
      </c>
      <c r="H166" s="94"/>
    </row>
    <row r="167" spans="7:8">
      <c r="G167" s="89" t="s">
        <v>321</v>
      </c>
      <c r="H167" s="94"/>
    </row>
    <row r="168" spans="7:8">
      <c r="G168" s="95" t="s">
        <v>322</v>
      </c>
      <c r="H168" s="94"/>
    </row>
    <row r="169" spans="7:8">
      <c r="G169" s="89" t="s">
        <v>323</v>
      </c>
      <c r="H169" s="94"/>
    </row>
    <row r="170" spans="7:8">
      <c r="G170" s="89" t="s">
        <v>324</v>
      </c>
      <c r="H170" s="94"/>
    </row>
    <row r="171" spans="7:8">
      <c r="G171" s="89" t="s">
        <v>325</v>
      </c>
      <c r="H171" s="94"/>
    </row>
    <row r="172" spans="7:8">
      <c r="G172" s="89" t="s">
        <v>326</v>
      </c>
      <c r="H172" s="94"/>
    </row>
    <row r="173" spans="7:8">
      <c r="G173" s="89" t="s">
        <v>327</v>
      </c>
      <c r="H173" s="94"/>
    </row>
    <row r="174" spans="7:8">
      <c r="G174" s="89" t="s">
        <v>328</v>
      </c>
      <c r="H174" s="94"/>
    </row>
    <row r="175" spans="7:8">
      <c r="G175" s="89" t="s">
        <v>329</v>
      </c>
      <c r="H175" s="94"/>
    </row>
    <row r="176" spans="7:8">
      <c r="G176" s="89" t="s">
        <v>330</v>
      </c>
      <c r="H176" s="94"/>
    </row>
    <row r="177" spans="7:8">
      <c r="G177" s="89" t="s">
        <v>331</v>
      </c>
      <c r="H177" s="94"/>
    </row>
    <row r="178" spans="7:8">
      <c r="G178" s="89" t="s">
        <v>332</v>
      </c>
      <c r="H178" s="94"/>
    </row>
    <row r="179" spans="7:8">
      <c r="G179" s="89" t="s">
        <v>333</v>
      </c>
      <c r="H179" s="94"/>
    </row>
    <row r="180" spans="7:8">
      <c r="G180" s="95" t="s">
        <v>334</v>
      </c>
      <c r="H180" s="94"/>
    </row>
    <row r="181" spans="7:8">
      <c r="G181" s="95" t="s">
        <v>335</v>
      </c>
      <c r="H181" s="94"/>
    </row>
    <row r="182" spans="7:7">
      <c r="G182" s="89" t="s">
        <v>336</v>
      </c>
    </row>
    <row r="183" spans="7:7">
      <c r="G183" s="89" t="s">
        <v>337</v>
      </c>
    </row>
    <row r="184" spans="7:9">
      <c r="G184" s="89" t="s">
        <v>338</v>
      </c>
      <c r="I184" s="94"/>
    </row>
    <row r="185" spans="7:7">
      <c r="G185" s="89" t="s">
        <v>339</v>
      </c>
    </row>
    <row r="186" spans="7:9">
      <c r="G186" s="89" t="s">
        <v>340</v>
      </c>
      <c r="I186" s="94"/>
    </row>
    <row r="187" spans="7:9">
      <c r="G187" s="89" t="s">
        <v>341</v>
      </c>
      <c r="I187" s="94"/>
    </row>
    <row r="188" spans="7:9">
      <c r="G188" s="89" t="s">
        <v>342</v>
      </c>
      <c r="I188" s="94"/>
    </row>
    <row r="189" spans="7:9">
      <c r="G189" s="89" t="s">
        <v>343</v>
      </c>
      <c r="I189" s="94"/>
    </row>
    <row r="190" spans="7:9">
      <c r="G190" s="89" t="s">
        <v>344</v>
      </c>
      <c r="I190" s="94"/>
    </row>
    <row r="191" spans="7:9">
      <c r="G191" s="89" t="s">
        <v>345</v>
      </c>
      <c r="I191" s="94"/>
    </row>
    <row r="192" spans="7:9">
      <c r="G192" s="89" t="s">
        <v>346</v>
      </c>
      <c r="I192" s="94"/>
    </row>
    <row r="193" spans="7:7">
      <c r="G193" s="89" t="s">
        <v>347</v>
      </c>
    </row>
    <row r="194" spans="7:9">
      <c r="G194" s="89" t="s">
        <v>348</v>
      </c>
      <c r="I194" s="94"/>
    </row>
    <row r="195" spans="7:9">
      <c r="G195" s="89" t="s">
        <v>349</v>
      </c>
      <c r="I195" s="94"/>
    </row>
    <row r="196" spans="7:9">
      <c r="G196" s="89" t="s">
        <v>350</v>
      </c>
      <c r="I196" s="94"/>
    </row>
    <row r="197" spans="7:9">
      <c r="G197" s="89" t="s">
        <v>351</v>
      </c>
      <c r="I197" s="94"/>
    </row>
    <row r="198" spans="7:9">
      <c r="G198" s="89" t="s">
        <v>352</v>
      </c>
      <c r="I198" s="94"/>
    </row>
    <row r="199" spans="7:9">
      <c r="G199" s="89" t="s">
        <v>353</v>
      </c>
      <c r="I199" s="94"/>
    </row>
    <row r="200" spans="7:9">
      <c r="G200" s="89" t="s">
        <v>354</v>
      </c>
      <c r="I200" s="94"/>
    </row>
    <row r="201" spans="7:9">
      <c r="G201" s="95" t="s">
        <v>355</v>
      </c>
      <c r="I201" s="94"/>
    </row>
    <row r="202" spans="7:9">
      <c r="G202" s="89" t="s">
        <v>356</v>
      </c>
      <c r="I202" s="94"/>
    </row>
    <row r="203" spans="7:9">
      <c r="G203" s="89" t="s">
        <v>357</v>
      </c>
      <c r="I203" s="94"/>
    </row>
    <row r="204" spans="7:9">
      <c r="G204" s="89" t="s">
        <v>358</v>
      </c>
      <c r="I204" s="94"/>
    </row>
    <row r="205" spans="7:9">
      <c r="G205" s="89" t="s">
        <v>359</v>
      </c>
      <c r="I205" s="94"/>
    </row>
    <row r="206" spans="7:9">
      <c r="G206" s="89" t="s">
        <v>360</v>
      </c>
      <c r="I206" s="94"/>
    </row>
    <row r="207" spans="7:9">
      <c r="G207" s="89" t="s">
        <v>361</v>
      </c>
      <c r="I207" s="94"/>
    </row>
    <row r="208" spans="7:9">
      <c r="G208" s="89" t="s">
        <v>362</v>
      </c>
      <c r="I208" s="94"/>
    </row>
    <row r="209" spans="7:9">
      <c r="G209" s="89" t="s">
        <v>363</v>
      </c>
      <c r="I209" s="94"/>
    </row>
    <row r="210" spans="7:9">
      <c r="G210" s="89" t="s">
        <v>364</v>
      </c>
      <c r="I210" s="94"/>
    </row>
    <row r="211" spans="7:9">
      <c r="G211" s="89" t="s">
        <v>365</v>
      </c>
      <c r="I211" s="94"/>
    </row>
    <row r="212" spans="7:9">
      <c r="G212" s="89" t="s">
        <v>366</v>
      </c>
      <c r="I212" s="94"/>
    </row>
    <row r="213" spans="7:9">
      <c r="G213" s="89" t="s">
        <v>367</v>
      </c>
      <c r="I213" s="94"/>
    </row>
    <row r="214" spans="7:9">
      <c r="G214" s="95" t="s">
        <v>368</v>
      </c>
      <c r="I214" s="94"/>
    </row>
    <row r="215" spans="7:9">
      <c r="G215" s="95" t="s">
        <v>369</v>
      </c>
      <c r="I215" s="94"/>
    </row>
    <row r="216" spans="7:9">
      <c r="G216" s="95" t="s">
        <v>370</v>
      </c>
      <c r="I216" s="94"/>
    </row>
    <row r="217" spans="7:9">
      <c r="G217" s="89" t="s">
        <v>371</v>
      </c>
      <c r="I217" s="94"/>
    </row>
    <row r="218" spans="7:7">
      <c r="G218" s="89" t="s">
        <v>372</v>
      </c>
    </row>
    <row r="219" spans="7:9">
      <c r="G219" s="89" t="s">
        <v>373</v>
      </c>
      <c r="I219" s="94"/>
    </row>
    <row r="220" spans="7:9">
      <c r="G220" s="89" t="s">
        <v>374</v>
      </c>
      <c r="I220" s="94"/>
    </row>
    <row r="221" spans="7:9">
      <c r="G221" s="89" t="s">
        <v>375</v>
      </c>
      <c r="I221" s="94"/>
    </row>
    <row r="222" spans="7:9">
      <c r="G222" s="89" t="s">
        <v>376</v>
      </c>
      <c r="I222" s="94"/>
    </row>
    <row r="223" spans="7:9">
      <c r="G223" s="95" t="s">
        <v>377</v>
      </c>
      <c r="I223" s="94"/>
    </row>
    <row r="224" spans="7:9">
      <c r="G224" s="89" t="s">
        <v>378</v>
      </c>
      <c r="I224" s="94"/>
    </row>
    <row r="225" spans="7:9">
      <c r="G225" s="89" t="s">
        <v>379</v>
      </c>
      <c r="I225" s="94"/>
    </row>
    <row r="226" spans="7:9">
      <c r="G226" s="95" t="s">
        <v>380</v>
      </c>
      <c r="I226" s="94"/>
    </row>
    <row r="227" spans="7:9">
      <c r="G227" s="89" t="s">
        <v>381</v>
      </c>
      <c r="I227" s="94"/>
    </row>
    <row r="228" spans="7:9">
      <c r="G228" s="89" t="s">
        <v>382</v>
      </c>
      <c r="I228" s="94"/>
    </row>
    <row r="229" spans="7:9">
      <c r="G229" s="89" t="s">
        <v>383</v>
      </c>
      <c r="I229" s="94"/>
    </row>
    <row r="230" spans="7:9">
      <c r="G230" s="89" t="s">
        <v>384</v>
      </c>
      <c r="I230" s="94"/>
    </row>
    <row r="231" spans="7:9">
      <c r="G231" s="89" t="s">
        <v>385</v>
      </c>
      <c r="I231" s="94"/>
    </row>
    <row r="232" spans="7:9">
      <c r="G232" s="89" t="s">
        <v>386</v>
      </c>
      <c r="I232" s="94"/>
    </row>
    <row r="233" spans="7:9">
      <c r="G233" s="89" t="s">
        <v>387</v>
      </c>
      <c r="I233" s="94"/>
    </row>
    <row r="234" spans="7:7">
      <c r="G234" s="89" t="s">
        <v>388</v>
      </c>
    </row>
    <row r="235" spans="7:9">
      <c r="G235" s="89" t="s">
        <v>389</v>
      </c>
      <c r="I235" s="94"/>
    </row>
    <row r="236" spans="7:9">
      <c r="G236" s="89" t="s">
        <v>390</v>
      </c>
      <c r="I236" s="94"/>
    </row>
    <row r="237" spans="7:9">
      <c r="G237" s="89" t="s">
        <v>391</v>
      </c>
      <c r="I237" s="94"/>
    </row>
    <row r="238" spans="7:9">
      <c r="G238" s="89" t="s">
        <v>392</v>
      </c>
      <c r="I238" s="94"/>
    </row>
    <row r="239" spans="7:9">
      <c r="G239" s="89" t="s">
        <v>393</v>
      </c>
      <c r="I239" s="94"/>
    </row>
    <row r="240" spans="7:9">
      <c r="G240" s="89" t="s">
        <v>394</v>
      </c>
      <c r="I240" s="94"/>
    </row>
    <row r="241" spans="7:9">
      <c r="G241" s="89" t="s">
        <v>395</v>
      </c>
      <c r="I241" s="94"/>
    </row>
    <row r="242" spans="7:9">
      <c r="G242" s="89" t="s">
        <v>396</v>
      </c>
      <c r="I242" s="94"/>
    </row>
    <row r="243" spans="9:9">
      <c r="I243" s="94"/>
    </row>
  </sheetData>
  <sheetProtection sheet="1" objects="1"/>
  <hyperlinks>
    <hyperlink ref="N3" r:id="rId1" display="Click here for English"/>
    <hyperlink ref="N2" r:id="rId2" display="繁體點擊此查看"/>
    <hyperlink ref="N4" r:id="rId3" display="简体点击此查看"/>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0"/>
  <sheetViews>
    <sheetView workbookViewId="0">
      <pane xSplit="1" ySplit="2" topLeftCell="B3" activePane="bottomRight" state="frozen"/>
      <selection/>
      <selection pane="topRight"/>
      <selection pane="bottomLeft"/>
      <selection pane="bottomRight" activeCell="A8" sqref="A8"/>
    </sheetView>
  </sheetViews>
  <sheetFormatPr defaultColWidth="9" defaultRowHeight="16.5"/>
  <cols>
    <col min="1" max="2" width="20.625" style="10" customWidth="1"/>
    <col min="3" max="3" width="15.625" style="2" customWidth="1"/>
    <col min="4" max="5" width="20.625" style="11" customWidth="1"/>
    <col min="6" max="6" width="35.625" style="10" customWidth="1"/>
    <col min="7" max="9" width="20.625" style="10" customWidth="1"/>
    <col min="10" max="10" width="40.625" style="10" customWidth="1"/>
    <col min="11" max="11" width="20.625" style="10" customWidth="1"/>
    <col min="12" max="12" width="15.625" style="2" customWidth="1"/>
    <col min="13" max="14" width="20.625" style="11" customWidth="1"/>
    <col min="15" max="15" width="35.625" style="10" customWidth="1"/>
    <col min="16" max="16" width="18.625" style="12" customWidth="1"/>
    <col min="17" max="17" width="20.625" style="3" customWidth="1"/>
    <col min="18" max="18" width="25.625" style="10" customWidth="1"/>
    <col min="19" max="19" width="20.625" style="10" customWidth="1"/>
    <col min="20" max="20" width="40.625" style="10" customWidth="1"/>
    <col min="21" max="21" width="30.625" style="3" customWidth="1"/>
    <col min="22" max="22" width="20.625" style="2" customWidth="1"/>
    <col min="23" max="23" width="25.625" style="3" customWidth="1"/>
    <col min="24" max="25" width="15.625" style="2" customWidth="1"/>
    <col min="26" max="26" width="15.625" style="3" customWidth="1"/>
    <col min="27" max="27" width="15.625" style="2" customWidth="1"/>
    <col min="28" max="28" width="15.625" style="3" customWidth="1"/>
    <col min="29" max="29" width="25.625" style="3" customWidth="1"/>
    <col min="30" max="30" width="24.625" style="2" customWidth="1"/>
    <col min="31" max="31" width="35.625" style="2" customWidth="1"/>
    <col min="32" max="32" width="40.625" style="10" customWidth="1"/>
    <col min="33" max="33" width="40.625" style="3" customWidth="1"/>
    <col min="34" max="35" width="30.625" style="3" customWidth="1"/>
    <col min="36" max="36" width="35.625" style="2" customWidth="1"/>
    <col min="37" max="37" width="24.625" style="13" customWidth="1"/>
    <col min="38" max="38" width="24.625" style="14" customWidth="1"/>
    <col min="39" max="39" width="40.625" style="3" customWidth="1"/>
    <col min="40" max="40" width="24.625" style="2" customWidth="1"/>
    <col min="41" max="41" width="20.625" style="3" customWidth="1"/>
    <col min="42" max="42" width="25.625" style="3" customWidth="1"/>
    <col min="43" max="43" width="20.625" style="3" customWidth="1"/>
    <col min="44" max="44" width="20.625" style="2" customWidth="1"/>
    <col min="45" max="45" width="24.625" style="2" customWidth="1"/>
    <col min="46" max="46" width="50.625" style="3" customWidth="1"/>
    <col min="47" max="47" width="20.625" style="2" customWidth="1"/>
    <col min="48" max="48" width="20.625" style="15" customWidth="1"/>
    <col min="49" max="49" width="40.625" style="15" customWidth="1"/>
    <col min="50" max="50" width="30.625" style="15" customWidth="1"/>
    <col min="51" max="51" width="30.625" style="16" customWidth="1"/>
    <col min="52" max="52" width="24.625" style="16" customWidth="1"/>
    <col min="53" max="53" width="18.625" style="15" customWidth="1"/>
    <col min="54" max="16384" width="9" style="3"/>
  </cols>
  <sheetData>
    <row r="1" s="8" customFormat="1" ht="36" customHeight="1" spans="1:53">
      <c r="A1" s="17"/>
      <c r="B1" s="18" t="s">
        <v>0</v>
      </c>
      <c r="C1" s="19"/>
      <c r="D1" s="20"/>
      <c r="E1" s="20"/>
      <c r="F1" s="21"/>
      <c r="G1" s="21"/>
      <c r="H1" s="21"/>
      <c r="I1" s="21"/>
      <c r="J1" s="30"/>
      <c r="K1" s="31" t="s">
        <v>1</v>
      </c>
      <c r="L1" s="32"/>
      <c r="M1" s="33"/>
      <c r="N1" s="33"/>
      <c r="O1" s="34"/>
      <c r="P1" s="35"/>
      <c r="Q1" s="43"/>
      <c r="R1" s="34"/>
      <c r="S1" s="34"/>
      <c r="T1" s="34"/>
      <c r="U1" s="43"/>
      <c r="V1" s="44"/>
      <c r="W1" s="45" t="s">
        <v>2</v>
      </c>
      <c r="X1" s="46"/>
      <c r="Y1" s="46"/>
      <c r="Z1" s="52"/>
      <c r="AA1" s="46"/>
      <c r="AB1" s="52"/>
      <c r="AC1" s="53"/>
      <c r="AD1" s="45" t="s">
        <v>3</v>
      </c>
      <c r="AE1" s="54"/>
      <c r="AF1" s="55"/>
      <c r="AG1" s="61" t="s">
        <v>4</v>
      </c>
      <c r="AH1" s="62" t="s">
        <v>5</v>
      </c>
      <c r="AI1" s="63"/>
      <c r="AJ1" s="64"/>
      <c r="AK1" s="65" t="s">
        <v>6</v>
      </c>
      <c r="AL1" s="66"/>
      <c r="AM1" s="67"/>
      <c r="AN1" s="68" t="s">
        <v>7</v>
      </c>
      <c r="AO1" s="77"/>
      <c r="AP1" s="77"/>
      <c r="AQ1" s="77"/>
      <c r="AR1" s="77"/>
      <c r="AS1" s="77"/>
      <c r="AT1" s="77"/>
      <c r="AU1" s="77"/>
      <c r="AV1" s="77"/>
      <c r="AW1" s="77"/>
      <c r="AX1" s="77"/>
      <c r="AY1" s="77"/>
      <c r="AZ1" s="81"/>
      <c r="BA1" s="82"/>
    </row>
    <row r="2" s="9" customFormat="1" ht="53" customHeight="1" spans="1:53">
      <c r="A2" s="22" t="s">
        <v>8</v>
      </c>
      <c r="B2" s="23" t="s">
        <v>9</v>
      </c>
      <c r="C2" s="24" t="s">
        <v>10</v>
      </c>
      <c r="D2" s="25" t="s">
        <v>11</v>
      </c>
      <c r="E2" s="25" t="s">
        <v>12</v>
      </c>
      <c r="F2" s="26" t="s">
        <v>13</v>
      </c>
      <c r="G2" s="27" t="s">
        <v>14</v>
      </c>
      <c r="H2" s="27" t="s">
        <v>15</v>
      </c>
      <c r="I2" s="27" t="s">
        <v>16</v>
      </c>
      <c r="J2" s="36" t="s">
        <v>17</v>
      </c>
      <c r="K2" s="37" t="s">
        <v>9</v>
      </c>
      <c r="L2" s="38" t="s">
        <v>10</v>
      </c>
      <c r="M2" s="39" t="s">
        <v>11</v>
      </c>
      <c r="N2" s="39" t="s">
        <v>12</v>
      </c>
      <c r="O2" s="40" t="s">
        <v>13</v>
      </c>
      <c r="P2" s="41" t="s">
        <v>18</v>
      </c>
      <c r="Q2" s="40" t="s">
        <v>19</v>
      </c>
      <c r="R2" s="40" t="s">
        <v>20</v>
      </c>
      <c r="S2" s="40" t="s">
        <v>21</v>
      </c>
      <c r="T2" s="40" t="s">
        <v>22</v>
      </c>
      <c r="U2" s="40" t="s">
        <v>23</v>
      </c>
      <c r="V2" s="47" t="s">
        <v>24</v>
      </c>
      <c r="W2" s="48" t="s">
        <v>25</v>
      </c>
      <c r="X2" s="49" t="s">
        <v>26</v>
      </c>
      <c r="Y2" s="56" t="s">
        <v>27</v>
      </c>
      <c r="Z2" s="57" t="s">
        <v>28</v>
      </c>
      <c r="AA2" s="56" t="s">
        <v>29</v>
      </c>
      <c r="AB2" s="57" t="s">
        <v>30</v>
      </c>
      <c r="AC2" s="58" t="s">
        <v>31</v>
      </c>
      <c r="AD2" s="59" t="s">
        <v>32</v>
      </c>
      <c r="AE2" s="49" t="s">
        <v>33</v>
      </c>
      <c r="AF2" s="60" t="s">
        <v>34</v>
      </c>
      <c r="AG2" s="69" t="s">
        <v>35</v>
      </c>
      <c r="AH2" s="70" t="s">
        <v>36</v>
      </c>
      <c r="AI2" s="71" t="s">
        <v>37</v>
      </c>
      <c r="AJ2" s="72" t="s">
        <v>397</v>
      </c>
      <c r="AK2" s="73" t="s">
        <v>39</v>
      </c>
      <c r="AL2" s="74" t="s">
        <v>40</v>
      </c>
      <c r="AM2" s="75" t="s">
        <v>41</v>
      </c>
      <c r="AN2" s="76" t="s">
        <v>42</v>
      </c>
      <c r="AO2" s="78" t="s">
        <v>43</v>
      </c>
      <c r="AP2" s="78" t="s">
        <v>44</v>
      </c>
      <c r="AQ2" s="78" t="s">
        <v>45</v>
      </c>
      <c r="AR2" s="79" t="s">
        <v>46</v>
      </c>
      <c r="AS2" s="79" t="s">
        <v>47</v>
      </c>
      <c r="AT2" s="80" t="s">
        <v>48</v>
      </c>
      <c r="AU2" s="79" t="s">
        <v>49</v>
      </c>
      <c r="AV2" s="80" t="s">
        <v>50</v>
      </c>
      <c r="AW2" s="80" t="s">
        <v>51</v>
      </c>
      <c r="AX2" s="80" t="s">
        <v>52</v>
      </c>
      <c r="AY2" s="79" t="s">
        <v>53</v>
      </c>
      <c r="AZ2" s="83" t="s">
        <v>54</v>
      </c>
      <c r="BA2" s="84" t="s">
        <v>55</v>
      </c>
    </row>
    <row r="3" s="3" customFormat="1" spans="1:53">
      <c r="A3" s="10" t="s">
        <v>398</v>
      </c>
      <c r="B3" s="10" t="s">
        <v>399</v>
      </c>
      <c r="C3" s="2">
        <v>852</v>
      </c>
      <c r="D3" s="28">
        <v>88880000</v>
      </c>
      <c r="E3" s="28">
        <v>29292929</v>
      </c>
      <c r="F3" s="10" t="s">
        <v>400</v>
      </c>
      <c r="G3" s="10" t="s">
        <v>70</v>
      </c>
      <c r="H3" s="10" t="s">
        <v>401</v>
      </c>
      <c r="I3" s="10" t="s">
        <v>402</v>
      </c>
      <c r="J3" s="10" t="s">
        <v>403</v>
      </c>
      <c r="K3" s="10" t="s">
        <v>404</v>
      </c>
      <c r="L3" s="2">
        <v>852</v>
      </c>
      <c r="M3" s="28">
        <v>88880000</v>
      </c>
      <c r="N3" s="28">
        <v>27300273</v>
      </c>
      <c r="O3" s="10" t="s">
        <v>405</v>
      </c>
      <c r="P3" s="42"/>
      <c r="Q3" s="50" t="s">
        <v>406</v>
      </c>
      <c r="R3" s="10" t="s">
        <v>407</v>
      </c>
      <c r="S3" s="10" t="s">
        <v>408</v>
      </c>
      <c r="T3" s="10" t="s">
        <v>409</v>
      </c>
      <c r="V3" s="2"/>
      <c r="W3" s="3" t="s">
        <v>410</v>
      </c>
      <c r="X3" s="2">
        <v>1.11</v>
      </c>
      <c r="Y3" s="2"/>
      <c r="AA3" s="2"/>
      <c r="AD3" s="2">
        <v>1.11</v>
      </c>
      <c r="AE3" s="2">
        <v>1</v>
      </c>
      <c r="AF3" s="10"/>
      <c r="AG3" s="3" t="s">
        <v>76</v>
      </c>
      <c r="AH3" s="3" t="s">
        <v>86</v>
      </c>
      <c r="AJ3" s="2"/>
      <c r="AK3" s="13">
        <v>46032</v>
      </c>
      <c r="AL3" s="14">
        <v>0.583333333333333</v>
      </c>
      <c r="AN3" s="2">
        <v>10</v>
      </c>
      <c r="AO3" s="3" t="s">
        <v>411</v>
      </c>
      <c r="AP3" s="3" t="s">
        <v>412</v>
      </c>
      <c r="AQ3" s="3" t="s">
        <v>77</v>
      </c>
      <c r="AR3" s="2">
        <v>100</v>
      </c>
      <c r="AS3" s="2">
        <v>8520000888</v>
      </c>
      <c r="AU3" s="2"/>
      <c r="AV3" s="15" t="s">
        <v>413</v>
      </c>
      <c r="AW3" s="15" t="s">
        <v>414</v>
      </c>
      <c r="AX3" s="15" t="s">
        <v>99</v>
      </c>
      <c r="AY3" s="85">
        <v>46068</v>
      </c>
      <c r="AZ3" s="86">
        <v>0.416666666666667</v>
      </c>
      <c r="BA3" s="15"/>
    </row>
    <row r="4" s="3" customFormat="1" spans="1:53">
      <c r="A4" s="10" t="s">
        <v>415</v>
      </c>
      <c r="B4" s="10" t="s">
        <v>399</v>
      </c>
      <c r="C4" s="2">
        <v>852</v>
      </c>
      <c r="D4" s="28">
        <v>88880000</v>
      </c>
      <c r="E4" s="28">
        <v>29292929</v>
      </c>
      <c r="F4" s="10" t="s">
        <v>400</v>
      </c>
      <c r="G4" s="10" t="s">
        <v>70</v>
      </c>
      <c r="H4" s="10" t="s">
        <v>401</v>
      </c>
      <c r="I4" s="10" t="s">
        <v>402</v>
      </c>
      <c r="J4" s="10" t="s">
        <v>403</v>
      </c>
      <c r="K4" s="10" t="s">
        <v>404</v>
      </c>
      <c r="L4" s="2">
        <v>853</v>
      </c>
      <c r="M4" s="28">
        <v>68888000</v>
      </c>
      <c r="N4" s="28">
        <v>28000888</v>
      </c>
      <c r="O4" s="10" t="s">
        <v>405</v>
      </c>
      <c r="P4" s="42" t="s">
        <v>416</v>
      </c>
      <c r="Q4" s="51"/>
      <c r="R4" s="10"/>
      <c r="S4" s="10"/>
      <c r="T4" s="10"/>
      <c r="V4" s="2"/>
      <c r="W4" s="3" t="s">
        <v>410</v>
      </c>
      <c r="X4" s="2">
        <v>1.11</v>
      </c>
      <c r="Y4" s="2">
        <v>1</v>
      </c>
      <c r="Z4" s="3" t="s">
        <v>72</v>
      </c>
      <c r="AA4" s="2">
        <v>100</v>
      </c>
      <c r="AB4" s="3" t="s">
        <v>73</v>
      </c>
      <c r="AC4" s="3" t="s">
        <v>394</v>
      </c>
      <c r="AD4" s="2">
        <v>2.22</v>
      </c>
      <c r="AE4" s="2">
        <v>2</v>
      </c>
      <c r="AF4" s="10" t="s">
        <v>417</v>
      </c>
      <c r="AG4" s="3" t="s">
        <v>76</v>
      </c>
      <c r="AH4" s="3" t="s">
        <v>75</v>
      </c>
      <c r="AI4" s="3" t="s">
        <v>95</v>
      </c>
      <c r="AJ4" s="2"/>
      <c r="AK4" s="13"/>
      <c r="AL4" s="14"/>
      <c r="AN4" s="2"/>
      <c r="AR4" s="2"/>
      <c r="AS4" s="2"/>
      <c r="AU4" s="2"/>
      <c r="AV4" s="15" t="s">
        <v>413</v>
      </c>
      <c r="AW4" s="15" t="s">
        <v>418</v>
      </c>
      <c r="AX4" s="15" t="s">
        <v>90</v>
      </c>
      <c r="AY4" s="87"/>
      <c r="AZ4" s="86"/>
      <c r="BA4" s="15"/>
    </row>
    <row r="5" s="3" customFormat="1" spans="1:53">
      <c r="A5" s="10" t="s">
        <v>415</v>
      </c>
      <c r="B5" s="10"/>
      <c r="C5" s="2"/>
      <c r="D5" s="11"/>
      <c r="E5" s="11"/>
      <c r="F5" s="10"/>
      <c r="G5" s="10"/>
      <c r="H5" s="10"/>
      <c r="I5" s="10"/>
      <c r="J5" s="10"/>
      <c r="K5" s="10"/>
      <c r="L5" s="2"/>
      <c r="M5" s="11"/>
      <c r="N5" s="11"/>
      <c r="O5" s="10"/>
      <c r="P5" s="42"/>
      <c r="R5" s="10"/>
      <c r="S5" s="10"/>
      <c r="T5" s="10"/>
      <c r="V5" s="2"/>
      <c r="W5" s="3" t="s">
        <v>419</v>
      </c>
      <c r="X5" s="2">
        <v>1.11</v>
      </c>
      <c r="Y5" s="2">
        <v>1</v>
      </c>
      <c r="Z5" s="3" t="s">
        <v>136</v>
      </c>
      <c r="AA5" s="2">
        <v>100</v>
      </c>
      <c r="AB5" s="3" t="s">
        <v>73</v>
      </c>
      <c r="AC5" s="3" t="s">
        <v>394</v>
      </c>
      <c r="AD5" s="2"/>
      <c r="AE5" s="2"/>
      <c r="AF5" s="10"/>
      <c r="AJ5" s="2"/>
      <c r="AK5" s="13"/>
      <c r="AL5" s="14"/>
      <c r="AN5" s="2"/>
      <c r="AR5" s="2"/>
      <c r="AS5" s="2"/>
      <c r="AU5" s="2"/>
      <c r="AV5" s="15"/>
      <c r="AW5" s="15"/>
      <c r="AX5" s="15"/>
      <c r="AY5" s="16"/>
      <c r="AZ5" s="16"/>
      <c r="BA5" s="15"/>
    </row>
    <row r="6" s="3" customFormat="1" spans="1:53">
      <c r="A6" s="10" t="s">
        <v>420</v>
      </c>
      <c r="B6" s="10" t="s">
        <v>399</v>
      </c>
      <c r="C6" s="2">
        <v>852</v>
      </c>
      <c r="D6" s="28">
        <v>88880000</v>
      </c>
      <c r="E6" s="28">
        <v>29292929</v>
      </c>
      <c r="F6" s="10" t="s">
        <v>400</v>
      </c>
      <c r="G6" s="10" t="s">
        <v>70</v>
      </c>
      <c r="H6" s="10" t="s">
        <v>421</v>
      </c>
      <c r="I6" s="10" t="s">
        <v>422</v>
      </c>
      <c r="J6" s="10" t="s">
        <v>423</v>
      </c>
      <c r="K6" s="10" t="s">
        <v>404</v>
      </c>
      <c r="L6" s="2">
        <v>86</v>
      </c>
      <c r="M6" s="28">
        <v>13888880000</v>
      </c>
      <c r="N6" s="28">
        <v>38008800</v>
      </c>
      <c r="O6" s="10" t="s">
        <v>405</v>
      </c>
      <c r="P6" s="42"/>
      <c r="Q6" s="3" t="s">
        <v>424</v>
      </c>
      <c r="R6" s="10" t="s">
        <v>425</v>
      </c>
      <c r="S6" s="10" t="s">
        <v>426</v>
      </c>
      <c r="T6" s="10" t="s">
        <v>427</v>
      </c>
      <c r="V6" s="2"/>
      <c r="W6" s="3" t="s">
        <v>428</v>
      </c>
      <c r="X6" s="2">
        <v>1.11</v>
      </c>
      <c r="Y6" s="2">
        <v>1</v>
      </c>
      <c r="Z6" s="3" t="s">
        <v>72</v>
      </c>
      <c r="AA6" s="2">
        <v>100</v>
      </c>
      <c r="AB6" s="3" t="s">
        <v>73</v>
      </c>
      <c r="AC6" s="3" t="s">
        <v>394</v>
      </c>
      <c r="AD6" s="2">
        <v>1.11</v>
      </c>
      <c r="AE6" s="2">
        <v>1</v>
      </c>
      <c r="AF6" s="10"/>
      <c r="AG6" s="3" t="s">
        <v>76</v>
      </c>
      <c r="AH6" s="3" t="s">
        <v>75</v>
      </c>
      <c r="AI6" s="3" t="s">
        <v>75</v>
      </c>
      <c r="AJ6" s="2">
        <v>8520000888</v>
      </c>
      <c r="AK6" s="13"/>
      <c r="AL6" s="14"/>
      <c r="AN6" s="2"/>
      <c r="AR6" s="2"/>
      <c r="AS6" s="2"/>
      <c r="AU6" s="2"/>
      <c r="AV6" s="15" t="s">
        <v>429</v>
      </c>
      <c r="AW6" s="15"/>
      <c r="AX6" s="15"/>
      <c r="AY6" s="85">
        <v>46068</v>
      </c>
      <c r="AZ6" s="86">
        <v>0.416666666666667</v>
      </c>
      <c r="BA6" s="15"/>
    </row>
    <row r="7" s="3" customFormat="1" spans="1:53">
      <c r="A7" s="10" t="s">
        <v>430</v>
      </c>
      <c r="B7" s="10" t="s">
        <v>399</v>
      </c>
      <c r="C7" s="2">
        <v>852</v>
      </c>
      <c r="D7" s="28">
        <v>88880000</v>
      </c>
      <c r="E7" s="28">
        <v>29292929</v>
      </c>
      <c r="F7" s="10" t="s">
        <v>400</v>
      </c>
      <c r="G7" s="10" t="s">
        <v>70</v>
      </c>
      <c r="H7" s="10" t="s">
        <v>421</v>
      </c>
      <c r="I7" s="10" t="s">
        <v>422</v>
      </c>
      <c r="J7" s="10" t="s">
        <v>423</v>
      </c>
      <c r="K7" s="10" t="s">
        <v>404</v>
      </c>
      <c r="L7" s="2">
        <v>886</v>
      </c>
      <c r="M7" s="122" t="s">
        <v>431</v>
      </c>
      <c r="N7" s="28">
        <v>87118080</v>
      </c>
      <c r="O7" s="10"/>
      <c r="P7" s="42"/>
      <c r="Q7" s="3" t="s">
        <v>432</v>
      </c>
      <c r="R7" s="10" t="s">
        <v>433</v>
      </c>
      <c r="S7" s="10" t="s">
        <v>434</v>
      </c>
      <c r="T7" s="10" t="s">
        <v>427</v>
      </c>
      <c r="U7" s="3" t="s">
        <v>71</v>
      </c>
      <c r="V7" s="2" t="s">
        <v>435</v>
      </c>
      <c r="W7" s="3" t="s">
        <v>428</v>
      </c>
      <c r="X7" s="2">
        <v>1.11</v>
      </c>
      <c r="Y7" s="2">
        <v>1</v>
      </c>
      <c r="Z7" s="3" t="s">
        <v>72</v>
      </c>
      <c r="AA7" s="2">
        <v>100</v>
      </c>
      <c r="AB7" s="3" t="s">
        <v>73</v>
      </c>
      <c r="AC7" s="3" t="s">
        <v>394</v>
      </c>
      <c r="AD7" s="2">
        <v>1.11</v>
      </c>
      <c r="AE7" s="2">
        <v>1</v>
      </c>
      <c r="AF7" s="10"/>
      <c r="AG7" s="3" t="s">
        <v>76</v>
      </c>
      <c r="AH7" s="3" t="s">
        <v>95</v>
      </c>
      <c r="AI7" s="3" t="s">
        <v>95</v>
      </c>
      <c r="AJ7" s="2"/>
      <c r="AK7" s="13"/>
      <c r="AL7" s="14"/>
      <c r="AN7" s="2"/>
      <c r="AR7" s="2"/>
      <c r="AS7" s="2"/>
      <c r="AU7" s="2"/>
      <c r="AV7" s="15"/>
      <c r="AW7" s="15"/>
      <c r="AX7" s="15"/>
      <c r="AY7" s="16"/>
      <c r="AZ7" s="16"/>
      <c r="BA7" s="15"/>
    </row>
    <row r="8" spans="16:16">
      <c r="P8" s="42"/>
    </row>
    <row r="9" spans="16:16">
      <c r="P9" s="42"/>
    </row>
    <row r="10" spans="16:16">
      <c r="P10" s="42"/>
    </row>
    <row r="11" spans="16:16">
      <c r="P11" s="42"/>
    </row>
    <row r="12" spans="16:16">
      <c r="P12" s="42"/>
    </row>
    <row r="13" spans="16:16">
      <c r="P13" s="42"/>
    </row>
    <row r="14" spans="16:16">
      <c r="P14" s="42"/>
    </row>
    <row r="15" spans="6:16">
      <c r="F15" s="29"/>
      <c r="P15" s="42"/>
    </row>
    <row r="16" spans="16:16">
      <c r="P16" s="42"/>
    </row>
    <row r="17" spans="16:16">
      <c r="P17" s="42"/>
    </row>
    <row r="18" spans="16:16">
      <c r="P18" s="42"/>
    </row>
    <row r="19" spans="16:28">
      <c r="P19" s="42"/>
      <c r="AB19" s="9"/>
    </row>
    <row r="20" spans="16:16">
      <c r="P20" s="42"/>
    </row>
    <row r="21" spans="16:16">
      <c r="P21" s="42"/>
    </row>
    <row r="22" spans="16:16">
      <c r="P22" s="42"/>
    </row>
    <row r="23" spans="16:16">
      <c r="P23" s="42"/>
    </row>
    <row r="24" spans="16:16">
      <c r="P24" s="42"/>
    </row>
    <row r="25" spans="16:16">
      <c r="P25" s="42"/>
    </row>
    <row r="26" spans="16:16">
      <c r="P26" s="42"/>
    </row>
    <row r="27" spans="16:16">
      <c r="P27" s="42"/>
    </row>
    <row r="28" spans="16:16">
      <c r="P28" s="42"/>
    </row>
    <row r="29" spans="16:16">
      <c r="P29" s="42"/>
    </row>
    <row r="30" spans="16:16">
      <c r="P30" s="42"/>
    </row>
    <row r="31" spans="16:16">
      <c r="P31" s="42"/>
    </row>
    <row r="32" spans="16:16">
      <c r="P32" s="42"/>
    </row>
    <row r="33" spans="16:16">
      <c r="P33" s="42"/>
    </row>
    <row r="34" spans="16:16">
      <c r="P34" s="42"/>
    </row>
    <row r="35" spans="16:16">
      <c r="P35" s="42"/>
    </row>
    <row r="36" spans="16:16">
      <c r="P36" s="42"/>
    </row>
    <row r="37" spans="16:16">
      <c r="P37" s="42"/>
    </row>
    <row r="38" spans="16:16">
      <c r="P38" s="42"/>
    </row>
    <row r="39" spans="16:16">
      <c r="P39" s="42"/>
    </row>
    <row r="40" spans="16:16">
      <c r="P40" s="42"/>
    </row>
    <row r="41" spans="16:16">
      <c r="P41" s="42"/>
    </row>
    <row r="42" spans="16:16">
      <c r="P42" s="42"/>
    </row>
    <row r="43" spans="16:16">
      <c r="P43" s="42"/>
    </row>
    <row r="44" spans="16:16">
      <c r="P44" s="42"/>
    </row>
    <row r="45" spans="16:16">
      <c r="P45" s="42"/>
    </row>
    <row r="46" spans="16:16">
      <c r="P46" s="42"/>
    </row>
    <row r="47" spans="16:16">
      <c r="P47" s="42"/>
    </row>
    <row r="48" spans="16:16">
      <c r="P48" s="42"/>
    </row>
    <row r="49" spans="16:16">
      <c r="P49" s="42"/>
    </row>
    <row r="50" spans="16:16">
      <c r="P50" s="42"/>
    </row>
    <row r="51" spans="16:16">
      <c r="P51" s="42"/>
    </row>
    <row r="52" spans="16:16">
      <c r="P52" s="42"/>
    </row>
    <row r="53" spans="16:16">
      <c r="P53" s="42"/>
    </row>
    <row r="54" spans="16:16">
      <c r="P54" s="42"/>
    </row>
    <row r="55" spans="16:16">
      <c r="P55" s="42"/>
    </row>
    <row r="56" spans="16:16">
      <c r="P56" s="42"/>
    </row>
    <row r="57" spans="16:16">
      <c r="P57" s="42"/>
    </row>
    <row r="58" spans="16:16">
      <c r="P58" s="42"/>
    </row>
    <row r="59" spans="16:16">
      <c r="P59" s="42"/>
    </row>
    <row r="60" spans="16:16">
      <c r="P60" s="42"/>
    </row>
    <row r="61" spans="16:16">
      <c r="P61" s="42"/>
    </row>
    <row r="62" spans="16:16">
      <c r="P62" s="42"/>
    </row>
    <row r="63" spans="16:16">
      <c r="P63" s="42"/>
    </row>
    <row r="64" spans="16:16">
      <c r="P64" s="42"/>
    </row>
    <row r="65" spans="16:16">
      <c r="P65" s="42"/>
    </row>
    <row r="66" spans="16:16">
      <c r="P66" s="42"/>
    </row>
    <row r="67" spans="16:16">
      <c r="P67" s="42"/>
    </row>
    <row r="68" spans="16:16">
      <c r="P68" s="42"/>
    </row>
    <row r="69" spans="16:16">
      <c r="P69" s="42"/>
    </row>
    <row r="70" spans="16:16">
      <c r="P70" s="42"/>
    </row>
    <row r="71" spans="16:16">
      <c r="P71" s="42"/>
    </row>
    <row r="72" spans="16:16">
      <c r="P72" s="42"/>
    </row>
    <row r="73" spans="16:16">
      <c r="P73" s="42"/>
    </row>
    <row r="74" spans="16:16">
      <c r="P74" s="42"/>
    </row>
    <row r="75" spans="16:16">
      <c r="P75" s="42"/>
    </row>
    <row r="76" spans="16:16">
      <c r="P76" s="42"/>
    </row>
    <row r="77" spans="16:16">
      <c r="P77" s="42"/>
    </row>
    <row r="78" spans="16:16">
      <c r="P78" s="42"/>
    </row>
    <row r="79" spans="16:16">
      <c r="P79" s="42"/>
    </row>
    <row r="80" spans="16:16">
      <c r="P80" s="42"/>
    </row>
    <row r="81" spans="16:16">
      <c r="P81" s="42"/>
    </row>
    <row r="82" spans="16:16">
      <c r="P82" s="42"/>
    </row>
    <row r="83" spans="16:16">
      <c r="P83" s="42"/>
    </row>
    <row r="84" spans="16:16">
      <c r="P84" s="42"/>
    </row>
    <row r="85" spans="16:16">
      <c r="P85" s="42"/>
    </row>
    <row r="86" spans="16:16">
      <c r="P86" s="42"/>
    </row>
    <row r="87" spans="16:16">
      <c r="P87" s="42"/>
    </row>
    <row r="88" spans="16:16">
      <c r="P88" s="42"/>
    </row>
    <row r="89" spans="16:16">
      <c r="P89" s="42"/>
    </row>
    <row r="90" spans="16:16">
      <c r="P90" s="42"/>
    </row>
    <row r="91" spans="16:16">
      <c r="P91" s="42"/>
    </row>
    <row r="92" spans="16:16">
      <c r="P92" s="42"/>
    </row>
    <row r="93" spans="16:16">
      <c r="P93" s="42"/>
    </row>
    <row r="94" spans="16:16">
      <c r="P94" s="42"/>
    </row>
    <row r="95" spans="16:16">
      <c r="P95" s="42"/>
    </row>
    <row r="96" spans="16:16">
      <c r="P96" s="42"/>
    </row>
    <row r="97" spans="16:16">
      <c r="P97" s="42"/>
    </row>
    <row r="98" spans="16:16">
      <c r="P98" s="42"/>
    </row>
    <row r="99" spans="16:16">
      <c r="P99" s="42"/>
    </row>
    <row r="100" spans="16:16">
      <c r="P100" s="42"/>
    </row>
  </sheetData>
  <sheetProtection sheet="1" formatColumns="0" objects="1"/>
  <mergeCells count="7">
    <mergeCell ref="B1:J1"/>
    <mergeCell ref="K1:V1"/>
    <mergeCell ref="W1:AC1"/>
    <mergeCell ref="AD1:AF1"/>
    <mergeCell ref="AH1:AJ1"/>
    <mergeCell ref="AK1:AL1"/>
    <mergeCell ref="AN1:AZ1"/>
  </mergeCells>
  <conditionalFormatting sqref="AY6">
    <cfRule type="expression" dxfId="4" priority="4">
      <formula>AND($AY6&lt;TODAY(),COUNTBLANK($AY6)=0)</formula>
    </cfRule>
    <cfRule type="expression" dxfId="4" priority="3">
      <formula>AND($AZ6&lt;&gt;"",$AY6="")</formula>
    </cfRule>
  </conditionalFormatting>
  <conditionalFormatting sqref="AZ6">
    <cfRule type="expression" dxfId="2" priority="2">
      <formula>AND($AY6&lt;&gt;"",$AZ6="")</formula>
    </cfRule>
  </conditionalFormatting>
  <conditionalFormatting sqref="A4:A1000">
    <cfRule type="expression" dxfId="0" priority="71">
      <formula>AND(LEN($A3)&lt;&gt;0,LEN($A4)&lt;&gt;0,$A3=$A4)</formula>
    </cfRule>
  </conditionalFormatting>
  <conditionalFormatting sqref="B4:B1000">
    <cfRule type="expression" dxfId="1" priority="70">
      <formula>AND(LEN($A3)&lt;&gt;0,LEN($A4)&lt;&gt;0,$A3=$A4)</formula>
    </cfRule>
  </conditionalFormatting>
  <conditionalFormatting sqref="C4:C1000">
    <cfRule type="expression" dxfId="1" priority="69">
      <formula>AND(LEN($A3)&lt;&gt;0,LEN($A4)&lt;&gt;0,$A3=$A4)</formula>
    </cfRule>
  </conditionalFormatting>
  <conditionalFormatting sqref="D4:D1000">
    <cfRule type="expression" dxfId="1" priority="68">
      <formula>AND(LEN($A3)&lt;&gt;0,LEN($A4)&lt;&gt;0,$A3=$A4)</formula>
    </cfRule>
  </conditionalFormatting>
  <conditionalFormatting sqref="E4:E1000">
    <cfRule type="expression" dxfId="1" priority="67">
      <formula>AND(LEN($A3)&lt;&gt;0,LEN($A4)&lt;&gt;0,$A3=$A4)</formula>
    </cfRule>
  </conditionalFormatting>
  <conditionalFormatting sqref="F4:F1000">
    <cfRule type="expression" dxfId="1" priority="66">
      <formula>AND(LEN($A3)&lt;&gt;0,LEN($A4)&lt;&gt;0,$A3=$A4)</formula>
    </cfRule>
  </conditionalFormatting>
  <conditionalFormatting sqref="G5:G1000">
    <cfRule type="expression" dxfId="1" priority="65">
      <formula>AND(LEN($A4)&lt;&gt;0,LEN($A5)&lt;&gt;0,$A4=$A5)</formula>
    </cfRule>
  </conditionalFormatting>
  <conditionalFormatting sqref="H4:H1000">
    <cfRule type="expression" dxfId="1" priority="64">
      <formula>AND(LEN($A3)&lt;&gt;0,LEN($A4)&lt;&gt;0,$A3=$A4)</formula>
    </cfRule>
  </conditionalFormatting>
  <conditionalFormatting sqref="I4:I1000">
    <cfRule type="expression" dxfId="1" priority="63">
      <formula>AND(LEN($A3)&lt;&gt;0,LEN($A4)&lt;&gt;0,$A3=$A4)</formula>
    </cfRule>
  </conditionalFormatting>
  <conditionalFormatting sqref="J4:J1000">
    <cfRule type="expression" dxfId="1" priority="62">
      <formula>AND(LEN($A3)&lt;&gt;0,LEN($A4)&lt;&gt;0,$A3=$A4)</formula>
    </cfRule>
  </conditionalFormatting>
  <conditionalFormatting sqref="K4:K1000">
    <cfRule type="expression" dxfId="1" priority="61">
      <formula>AND(LEN($A3)&lt;&gt;0,LEN($A4)&lt;&gt;0,$A3=$A4)</formula>
    </cfRule>
  </conditionalFormatting>
  <conditionalFormatting sqref="L4:L1000">
    <cfRule type="expression" dxfId="1" priority="60">
      <formula>AND(LEN($A3)&lt;&gt;0,LEN($A4)&lt;&gt;0,$A3=$A4)</formula>
    </cfRule>
  </conditionalFormatting>
  <conditionalFormatting sqref="M3:M1000">
    <cfRule type="expression" dxfId="2" priority="210">
      <formula>AND(COUNTBLANK($AQ3)=0,COUNTBLANK($M3)=1)</formula>
    </cfRule>
  </conditionalFormatting>
  <conditionalFormatting sqref="M4:M1000">
    <cfRule type="expression" dxfId="1" priority="209">
      <formula>AND(LEN($A3)&lt;&gt;0,LEN($A4)&lt;&gt;0,$A3=$A4)</formula>
    </cfRule>
  </conditionalFormatting>
  <conditionalFormatting sqref="N4:N1000">
    <cfRule type="expression" dxfId="1" priority="59">
      <formula>AND(LEN($A3)&lt;&gt;0,LEN($A4)&lt;&gt;0,$A3=$A4)</formula>
    </cfRule>
  </conditionalFormatting>
  <conditionalFormatting sqref="O4:O1000">
    <cfRule type="expression" dxfId="1" priority="58">
      <formula>AND(LEN($A3)&lt;&gt;0,LEN($A4)&lt;&gt;0,$A3=$A4)</formula>
    </cfRule>
  </conditionalFormatting>
  <conditionalFormatting sqref="P4:P1000">
    <cfRule type="expression" dxfId="1" priority="57">
      <formula>AND(LEN($A3)&lt;&gt;0,LEN($A4)&lt;&gt;0,$A3=$A4)</formula>
    </cfRule>
  </conditionalFormatting>
  <conditionalFormatting sqref="Q3:Q1000">
    <cfRule type="expression" dxfId="1" priority="211">
      <formula>COUNT(SEARCH("853",$P3))&lt;&gt;0</formula>
    </cfRule>
    <cfRule type="expression" dxfId="3" priority="212">
      <formula>COUNT(SEARCH("852",$P3))&lt;&gt;0</formula>
    </cfRule>
  </conditionalFormatting>
  <conditionalFormatting sqref="Q4:Q1000">
    <cfRule type="expression" dxfId="1" priority="208">
      <formula>AND(LEN($A3)&lt;&gt;0,LEN($A4)&lt;&gt;0,$A3=$A4)</formula>
    </cfRule>
  </conditionalFormatting>
  <conditionalFormatting sqref="R3:R1000">
    <cfRule type="expression" dxfId="1" priority="206">
      <formula>COUNT(SEARCH("853",$P3))&lt;&gt;0</formula>
    </cfRule>
    <cfRule type="expression" dxfId="3" priority="207">
      <formula>COUNT(SEARCH("852",$P3))&lt;&gt;0</formula>
    </cfRule>
  </conditionalFormatting>
  <conditionalFormatting sqref="R4:R1000">
    <cfRule type="expression" dxfId="1" priority="205">
      <formula>AND(LEN($A3)&lt;&gt;0,LEN($A4)&lt;&gt;0,$A3=$A4)</formula>
    </cfRule>
  </conditionalFormatting>
  <conditionalFormatting sqref="S3:S1000">
    <cfRule type="expression" dxfId="1" priority="203">
      <formula>COUNT(SEARCH("853",$P3))&lt;&gt;0</formula>
    </cfRule>
    <cfRule type="expression" dxfId="3" priority="204">
      <formula>COUNT(SEARCH("852",$P3))&lt;&gt;0</formula>
    </cfRule>
  </conditionalFormatting>
  <conditionalFormatting sqref="S4:S1000">
    <cfRule type="expression" dxfId="1" priority="202">
      <formula>AND(LEN($A3)&lt;&gt;0,LEN($A4)&lt;&gt;0,$A3=$A4)</formula>
    </cfRule>
  </conditionalFormatting>
  <conditionalFormatting sqref="T3:T1000">
    <cfRule type="expression" dxfId="1" priority="200">
      <formula>COUNT(SEARCH("853",$P3))&lt;&gt;0</formula>
    </cfRule>
    <cfRule type="expression" dxfId="3" priority="201">
      <formula>COUNT(SEARCH("852",$P3))&lt;&gt;0</formula>
    </cfRule>
  </conditionalFormatting>
  <conditionalFormatting sqref="T4:T1000">
    <cfRule type="expression" dxfId="1" priority="199">
      <formula>AND(LEN($A3)&lt;&gt;0,LEN($A4)&lt;&gt;0,$A3=$A4)</formula>
    </cfRule>
  </conditionalFormatting>
  <conditionalFormatting sqref="U3:U1000">
    <cfRule type="expression" dxfId="2" priority="213">
      <formula>AND(OR($Q3="台湾",$Q3="台灣",$Q3="臺灣",$Q3="臺湾",$Q3="Taiwan"),AND($O3&lt;&gt;0),ISBLANK($U3))</formula>
    </cfRule>
  </conditionalFormatting>
  <conditionalFormatting sqref="U4:U1000">
    <cfRule type="expression" dxfId="1" priority="198">
      <formula>AND(LEN($A3)&lt;&gt;0,LEN($A4)&lt;&gt;0,$A3=$A4)</formula>
    </cfRule>
  </conditionalFormatting>
  <conditionalFormatting sqref="V3:V1000">
    <cfRule type="expression" dxfId="2" priority="154">
      <formula>AND(OR($Q3="台湾",$Q3="台灣",$Q3="臺灣",$Q3="臺湾",$Q3="Taiwan"),AND($O3&lt;&gt;0),ISBLANK($V3))</formula>
    </cfRule>
  </conditionalFormatting>
  <conditionalFormatting sqref="V4:V1000">
    <cfRule type="expression" dxfId="1" priority="197">
      <formula>AND(LEN($A3)&lt;&gt;0,LEN($A4)&lt;&gt;0,$A3=$A4)</formula>
    </cfRule>
  </conditionalFormatting>
  <conditionalFormatting sqref="W3:W1000">
    <cfRule type="expression" dxfId="2" priority="138">
      <formula>AND(OR(RIGHT($Q3,8)="Province",RIGHT($Q3,4)="City",RIGHT($Q3,6)="County",RIGHT($Q3,8)="District",RIGHT($Q3,8)="Township"),ISBLANK($W3))</formula>
    </cfRule>
    <cfRule type="expression" dxfId="2" priority="139">
      <formula>AND(OR(RIGHT($Q3,1)="省",RIGHT($Q3,1)="市",RIGHT($Q3,1)="区",RIGHT($Q3,1)="县",RIGHT($Q3,1)="镇",RIGHT($Q3,1)="乡"),ISBLANK($W3))</formula>
    </cfRule>
    <cfRule type="expression" dxfId="2" priority="140">
      <formula>AND(OR(RIGHT($Q3,1)="省",RIGHT($Q3,1)="市",RIGHT($Q3,1)="區",RIGHT($Q3,1)="縣",RIGHT($Q3,1)="鎮",RIGHT($Q3,1)="鄉"),ISBLANK($W3))</formula>
    </cfRule>
    <cfRule type="expression" dxfId="2" priority="141">
      <formula>AND(OR($G3="香港",$G3="Hong Kong",$G3="香港/Hong Kong"),OR($Q3="Hong Kong",$Q3="Hong Kong, China",$Q3="HK",$Q3="HKSAR"),ISBLANK($W3))</formula>
    </cfRule>
    <cfRule type="expression" dxfId="2" priority="142">
      <formula>AND(OR($G3="香港",$G3="Hong Kong",$G3="香港/Hong Kong"),OR($Q3="香港",$Q3="中国香港",$Q3="香港特别行政区"),ISBLANK($W3))</formula>
    </cfRule>
    <cfRule type="expression" dxfId="2" priority="143">
      <formula>AND(OR($G3="香港",$G3="Hong Kong",$G3="香港/Hong Kong"),OR($Q3="香港",$Q3="中國香港",$Q3="香港特別行政區"),ISBLANK($W3))</formula>
    </cfRule>
    <cfRule type="expression" dxfId="2" priority="144">
      <formula>AND(OR($G3="澳门",$G3="澳門",$G3="Macau",$G3="澳門/Macau"),OR($Q3="Macau",$Q3="Macau, China"),ISBLANK($W3))</formula>
    </cfRule>
    <cfRule type="expression" dxfId="2" priority="145">
      <formula>AND(OR($G3="澳门",$G3="澳門",$G3="Macau",$G3="澳門/Macau"),OR($Q3="澳门",$Q3="中国澳门",$Q3="澳门特别行政区"),ISBLANK($W3))</formula>
    </cfRule>
    <cfRule type="expression" dxfId="2" priority="146">
      <formula>AND(OR($G3="澳门",$G3="澳門",$G3="Macau",$G3="澳門/Macau"),OR($Q3="澳門",$Q3="中國澳門",$Q3="澳門特別行政區"),ISBLANK($W3))</formula>
    </cfRule>
    <cfRule type="expression" dxfId="2" priority="147">
      <formula>AND(OR($G3="澳门",$G3="澳門",$G3="Macau",$G3="澳門/Macau"),OR($Q3="Hong Kong",$Q3="Hong Kong, China",$Q3="HK",$Q3="HKSAR",$Q3="Taiwan",$Q3="Taiwan, China"),ISBLANK($W3))</formula>
    </cfRule>
    <cfRule type="expression" dxfId="2" priority="148">
      <formula>AND(OR($G3="澳门",$G3="澳門",$G3="Macau",$G3="澳門/Macau"),OR($Q3="香港",$Q3="中国香港",$Q3="香港特别行政区",$Q3="台湾",$Q3="中国台湾"),ISBLANK($W3))</formula>
    </cfRule>
    <cfRule type="expression" dxfId="2" priority="149">
      <formula>AND(OR($G3="澳门",$G3="澳門",$G3="Macau",$G3="澳門/Macau"),OR($Q3="香港",$Q3="中國香港",$Q3="香港特別行政區",$Q3="台灣",$Q3="中國台灣"),ISBLANK($W3))</formula>
    </cfRule>
    <cfRule type="expression" dxfId="2" priority="150">
      <formula>AND(OR($G3="香港",$G3="Hong Kong",$G3="香港/Hong Kong"),OR($Q3="Macau",$Q3="Macau, China",$Q3="Taiwan",$Q3="Taiwan, China"),ISBLANK($W3))</formula>
    </cfRule>
    <cfRule type="expression" dxfId="2" priority="151">
      <formula>AND(OR($G3="香港",$G3="Hong Kong",$G3="香港/Hong Kong"),OR($Q3="澳门",$Q3="中国澳门",$Q3="澳门特别行政区",$Q3="台湾",$Q3="中国台湾"),ISBLANK($W3))</formula>
    </cfRule>
    <cfRule type="expression" dxfId="2" priority="152">
      <formula>AND(OR($G3="香港",$G3="Hong Kong",$G3="香港/Hong Kong"),OR($Q3="澳門",$Q3="中國澳門",$Q3="澳門特別行政區",$Q3="台灣",$Q3="中國台灣"),ISBLANK($W3))</formula>
    </cfRule>
    <cfRule type="expression" dxfId="2" priority="153">
      <formula>AND(LEN($X3)&lt;&gt;0,ISBLANK($W3))</formula>
    </cfRule>
  </conditionalFormatting>
  <conditionalFormatting sqref="X3:X1000">
    <cfRule type="expression" dxfId="2" priority="122">
      <formula>AND(OR(RIGHT($Q3,8)="Province",RIGHT($Q3,4)="City",RIGHT($Q3,6)="County",RIGHT($Q3,8)="District",RIGHT($Q3,8)="Township"),ISBLANK($X3))</formula>
    </cfRule>
    <cfRule type="expression" dxfId="2" priority="123">
      <formula>AND(OR(RIGHT($Q3,1)="省",RIGHT($Q3,1)="市",RIGHT($Q3,1)="区",RIGHT($Q3,1)="县",RIGHT($Q3,1)="镇",RIGHT($Q3,1)="乡"),ISBLANK($X3))</formula>
    </cfRule>
    <cfRule type="expression" dxfId="2" priority="124">
      <formula>AND(OR(RIGHT($Q3,1)="省",RIGHT($Q3,1)="市",RIGHT($Q3,1)="區",RIGHT($Q3,1)="縣",RIGHT($Q3,1)="鎮",RIGHT($Q3,1)="鄉"),ISBLANK($X3))</formula>
    </cfRule>
    <cfRule type="expression" dxfId="2" priority="125">
      <formula>AND(OR($G3="香港",$G3="Hong Kong",$G3="香港/Hong Kong"),OR($Q3="Hong Kong",$Q3="Hong Kong, China",$Q3="HK",$Q3="HKSAR"),ISBLANK($X3))</formula>
    </cfRule>
    <cfRule type="expression" dxfId="2" priority="126">
      <formula>AND(OR($G3="香港",$G3="Hong Kong",$G3="香港/Hong Kong"),OR($Q3="香港",$Q3="中国香港",$Q3="香港特别行政区"),ISBLANK($X3))</formula>
    </cfRule>
    <cfRule type="expression" dxfId="2" priority="127">
      <formula>AND(OR($G3="香港",$G3="Hong Kong",$G3="香港/Hong Kong"),OR($Q3="香港",$Q3="中國香港",$Q3="香港特別行政區"),ISBLANK($X3))</formula>
    </cfRule>
    <cfRule type="expression" dxfId="2" priority="128">
      <formula>AND(OR($G3="澳门",$G3="澳門",$G3="Macau",$G3="澳門/Macau"),OR($Q3="Macau",$Q3="Macau, China"),ISBLANK($X3))</formula>
    </cfRule>
    <cfRule type="expression" dxfId="2" priority="129">
      <formula>AND(OR($G3="澳门",$G3="澳門",$G3="Macau",$G3="澳門/Macau"),OR($Q3="澳门",$Q3="中国澳门",$Q3="澳门特别行政区"),ISBLANK($X3))</formula>
    </cfRule>
    <cfRule type="expression" dxfId="2" priority="130">
      <formula>AND(OR($G3="澳门",$G3="澳門",$G3="Macau",$G3="澳門/Macau"),OR($Q3="澳門",$Q3="中國澳門",$Q3="澳門特別行政區"),ISBLANK($X3))</formula>
    </cfRule>
    <cfRule type="expression" dxfId="2" priority="131">
      <formula>AND(OR($G3="澳门",$G3="澳門",$G3="Macau",$G3="澳門/Macau"),OR($Q3="Hong Kong",$Q3="Hong Kong, China",$Q3="HK",$Q3="HKSAR",$Q3="Taiwan",$Q3="Taiwan, China"),ISBLANK($X3))</formula>
    </cfRule>
    <cfRule type="expression" dxfId="2" priority="132">
      <formula>AND(OR($G3="澳门",$G3="澳門",$G3="Macau",$G3="澳門/Macau"),OR($Q3="香港",$Q3="中国香港",$Q3="香港特别行政区",$Q3="台湾",$Q3="中国台湾"),ISBLANK($X3))</formula>
    </cfRule>
    <cfRule type="expression" dxfId="2" priority="133">
      <formula>AND(OR($G3="澳门",$G3="澳門",$G3="Macau",$G3="澳門/Macau"),OR($Q3="香港",$Q3="中國香港",$Q3="香港特別行政區",$Q3="台灣",$Q3="中國台灣"),ISBLANK($X3))</formula>
    </cfRule>
    <cfRule type="expression" dxfId="2" priority="134">
      <formula>AND(OR($G3="香港",$G3="Hong Kong",$G3="香港/Hong Kong"),OR($Q3="Macau",$Q3="Macau, China",$Q3="Taiwan",$Q3="Taiwan, China"),ISBLANK($X3))</formula>
    </cfRule>
    <cfRule type="expression" dxfId="2" priority="135">
      <formula>AND(OR($G3="香港",$G3="Hong Kong",$G3="香港/Hong Kong"),OR($Q3="澳门",$Q3="中国澳门",$Q3="澳门特别行政区",$Q3="台湾",$Q3="中国台湾"),ISBLANK($X3))</formula>
    </cfRule>
    <cfRule type="expression" dxfId="2" priority="136">
      <formula>AND(OR($G3="香港",$G3="Hong Kong",$G3="香港/Hong Kong"),OR($Q3="澳門",$Q3="中國澳門",$Q3="澳門特別行政區",$Q3="台灣",$Q3="中國台灣"),ISBLANK($X3))</formula>
    </cfRule>
    <cfRule type="expression" dxfId="2" priority="137">
      <formula>AND(LEN($W3)&lt;&gt;0,ISBLANK($X3))</formula>
    </cfRule>
  </conditionalFormatting>
  <conditionalFormatting sqref="Y3:Y1000">
    <cfRule type="expression" dxfId="2" priority="112">
      <formula>AND(OR(RIGHT($Q3,8)="Province",RIGHT($Q3,4)="City",RIGHT($Q3,6)="County",RIGHT($Q3,8)="District",RIGHT($Q3,8)="Township"),ISBLANK($Y3))</formula>
    </cfRule>
    <cfRule type="expression" dxfId="2" priority="113">
      <formula>AND(OR(RIGHT($Q3,1)="省",RIGHT($Q3,1)="市",RIGHT($Q3,1)="区",RIGHT($Q3,1)="县",RIGHT($Q3,1)="镇",RIGHT($Q3,1)="乡"),ISBLANK($Y3))</formula>
    </cfRule>
    <cfRule type="expression" dxfId="2" priority="114">
      <formula>AND(OR(RIGHT($Q3,1)="省",RIGHT($Q3,1)="市",RIGHT($Q3,1)="區",RIGHT($Q3,1)="縣",RIGHT($Q3,1)="鎮",RIGHT($Q3,1)="鄉"),ISBLANK($Y3))</formula>
    </cfRule>
    <cfRule type="expression" dxfId="2" priority="115">
      <formula>AND(OR($G3="澳门",$G3="澳門",$G3="Macau",$G3="澳門/Macau"),OR($Q3="Hong Kong",$Q3="Hong Kong, China",$Q3="HK",$Q3="HKSAR",$Q3="Taiwan",$Q3="Taiwan, China"),ISBLANK($Y3))</formula>
    </cfRule>
    <cfRule type="expression" dxfId="2" priority="116">
      <formula>AND(OR($G3="澳门",$G3="澳門",$G3="Macau",$G3="澳門/Macau"),OR($Q3="香港",$Q3="中国香港",$Q3="香港特别行政区",$Q3="台湾",$Q3="中国台湾"),ISBLANK($Y3))</formula>
    </cfRule>
    <cfRule type="expression" dxfId="2" priority="117">
      <formula>AND(OR($G3="澳门",$G3="澳門",$G3="Macau",$G3="澳門/Macau"),OR($Q3="香港",$Q3="中國香港",$Q3="香港特別行政區",$Q3="台灣",$Q3="中國台灣"),ISBLANK($Y3))</formula>
    </cfRule>
    <cfRule type="expression" dxfId="2" priority="118">
      <formula>AND(OR($G3="香港",$G3="Hong Kong",$G3="香港/Hong Kong"),OR($Q3="Macau",$Q3="Macau, China",$Q3="Taiwan",$Q3="Taiwan, China"),ISBLANK($Y3))</formula>
    </cfRule>
    <cfRule type="expression" dxfId="2" priority="119">
      <formula>AND(OR($G3="香港",$G3="Hong Kong",$G3="香港/Hong Kong"),OR($Q3="澳门",$Q3="中国澳门",$Q3="澳门特别行政区",$Q3="台湾",$Q3="中国台湾"),ISBLANK($Y3))</formula>
    </cfRule>
    <cfRule type="expression" dxfId="2" priority="120">
      <formula>AND(OR($G3="香港",$G3="Hong Kong",$G3="香港/Hong Kong"),OR($Q3="澳門",$Q3="中國澳門",$Q3="澳門特別行政區",$Q3="台灣",$Q3="中國台灣"),ISBLANK($Y3))</formula>
    </cfRule>
    <cfRule type="expression" dxfId="2" priority="121">
      <formula>AND(LEN($Z3)&lt;&gt;0,ISBLANK($Y3))</formula>
    </cfRule>
  </conditionalFormatting>
  <conditionalFormatting sqref="Z3:Z1000">
    <cfRule type="expression" dxfId="2" priority="102">
      <formula>AND(OR(RIGHT($Q3,8)="Province",RIGHT($Q3,4)="City",RIGHT($Q3,6)="County",RIGHT($Q3,8)="District",RIGHT($Q3,8)="Township"),ISBLANK($Z3))</formula>
    </cfRule>
    <cfRule type="expression" dxfId="2" priority="103">
      <formula>AND(OR(RIGHT($Q3,1)="省",RIGHT($Q3,1)="市",RIGHT($Q3,1)="区",RIGHT($Q3,1)="县",RIGHT($Q3,1)="镇",RIGHT($Q3,1)="乡"),ISBLANK($Z3))</formula>
    </cfRule>
    <cfRule type="expression" dxfId="2" priority="104">
      <formula>AND(OR(RIGHT($Q3,1)="省",RIGHT($Q3,1)="市",RIGHT($Q3,1)="區",RIGHT($Q3,1)="縣",RIGHT($Q3,1)="鎮",RIGHT($Q3,1)="鄉"),ISBLANK($Z3))</formula>
    </cfRule>
    <cfRule type="expression" dxfId="2" priority="105">
      <formula>AND(OR($G3="澳门",$G3="澳門",$G3="Macau",$G3="澳門/Macau"),OR($Q3="Hong Kong",$Q3="Hong Kong, China",$Q3="HK",$Q3="HKSAR",$Q3="Taiwan",$Q3="Taiwan, China"),ISBLANK($Z3))</formula>
    </cfRule>
    <cfRule type="expression" dxfId="2" priority="106">
      <formula>AND(OR($G3="澳门",$G3="澳門",$G3="Macau",$G3="澳門/Macau"),OR($Q3="香港",$Q3="中国香港",$Q3="香港特别行政区",$Q3="台湾",$Q3="中国台湾"),ISBLANK($Z3))</formula>
    </cfRule>
    <cfRule type="expression" dxfId="2" priority="107">
      <formula>AND(OR($G3="澳门",$G3="澳門",$G3="Macau",$G3="澳門/Macau"),OR($Q3="香港",$Q3="中國香港",$Q3="香港特別行政區",$Q3="台灣",$Q3="中國台灣"),ISBLANK($Z3))</formula>
    </cfRule>
    <cfRule type="expression" dxfId="2" priority="108">
      <formula>AND(OR($G3="香港",$G3="Hong Kong",$G3="香港/Hong Kong"),OR($Q3="Macau",$Q3="Macau, China",$Q3="Taiwan",$Q3="Taiwan, China"),ISBLANK($Z3))</formula>
    </cfRule>
    <cfRule type="expression" dxfId="2" priority="109">
      <formula>AND(OR($G3="香港",$G3="Hong Kong",$G3="香港/Hong Kong"),OR($Q3="澳门",$Q3="中国澳门",$Q3="澳门特别行政区",$Q3="台湾",$Q3="中国台湾"),ISBLANK($Z3))</formula>
    </cfRule>
    <cfRule type="expression" dxfId="2" priority="110">
      <formula>AND(OR($G3="香港",$G3="Hong Kong",$G3="香港/Hong Kong"),OR($Q3="澳門",$Q3="中國澳門",$Q3="澳門特別行政區",$Q3="台灣",$Q3="中國台灣"),ISBLANK($Z3))</formula>
    </cfRule>
    <cfRule type="expression" dxfId="2" priority="111">
      <formula>AND(LEN($Y3)&lt;&gt;0,ISBLANK($Z3))</formula>
    </cfRule>
  </conditionalFormatting>
  <conditionalFormatting sqref="AA3:AA1000">
    <cfRule type="expression" dxfId="2" priority="92">
      <formula>AND(OR(RIGHT($Q3,8)="Province",RIGHT($Q3,4)="City",RIGHT($Q3,6)="County",RIGHT($Q3,8)="District",RIGHT($Q3,8)="Township"),ISBLANK($AA3))</formula>
    </cfRule>
    <cfRule type="expression" dxfId="2" priority="93">
      <formula>AND(OR(RIGHT($Q3,1)="省",RIGHT($Q3,1)="市",RIGHT($Q3,1)="区",RIGHT($Q3,1)="县",RIGHT($Q3,1)="镇",RIGHT($Q3,1)="乡"),ISBLANK($AA3))</formula>
    </cfRule>
    <cfRule type="expression" dxfId="2" priority="94">
      <formula>AND(OR(RIGHT($Q3,1)="省",RIGHT($Q3,1)="市",RIGHT($Q3,1)="區",RIGHT($Q3,1)="縣",RIGHT($Q3,1)="鎮",RIGHT($Q3,1)="鄉"),ISBLANK($AA3))</formula>
    </cfRule>
    <cfRule type="expression" dxfId="2" priority="95">
      <formula>AND(OR($G3="澳门",$G3="澳門",$G3="Macau",$G3="澳門/Macau"),OR($Q3="Hong Kong",$Q3="Hong Kong, China",$Q3="HK",$Q3="HKSAR",$Q3="Taiwan",$Q3="Taiwan, China"),ISBLANK($AA3))</formula>
    </cfRule>
    <cfRule type="expression" dxfId="2" priority="96">
      <formula>AND(OR($G3="澳门",$G3="澳門",$G3="Macau",$G3="澳門/Macau"),OR($Q3="香港",$Q3="中国香港",$Q3="香港特别行政区",$Q3="台湾",$Q3="中国台湾"),ISBLANK($AA3))</formula>
    </cfRule>
    <cfRule type="expression" dxfId="2" priority="97">
      <formula>AND(OR($G3="澳门",$G3="澳門",$G3="Macau",$G3="澳門/Macau"),OR($Q3="香港",$Q3="中國香港",$Q3="香港特別行政區",$Q3="台灣",$Q3="中國台灣"),ISBLANK($AA3))</formula>
    </cfRule>
    <cfRule type="expression" dxfId="2" priority="98">
      <formula>AND(OR($G3="香港",$G3="Hong Kong",$G3="香港/Hong Kong"),OR($Q3="Macau",$Q3="Macau, China",$Q3="Taiwan",$Q3="Taiwan, China"),ISBLANK($AA3))</formula>
    </cfRule>
    <cfRule type="expression" dxfId="2" priority="99">
      <formula>AND(OR($G3="香港",$G3="Hong Kong",$G3="香港/Hong Kong"),OR($Q3="澳门",$Q3="中国澳门",$Q3="澳门特别行政区",$Q3="台湾",$Q3="中国台湾"),ISBLANK($AA3))</formula>
    </cfRule>
    <cfRule type="expression" dxfId="2" priority="100">
      <formula>AND(OR($G3="香港",$G3="Hong Kong",$G3="香港/Hong Kong"),OR($Q3="澳門",$Q3="中國澳門",$Q3="澳門特別行政區",$Q3="台灣",$Q3="中國台灣"),ISBLANK($AA3))</formula>
    </cfRule>
    <cfRule type="expression" dxfId="2" priority="101">
      <formula>AND(LEN($AB3)&lt;&gt;0,ISBLANK($AA3))</formula>
    </cfRule>
  </conditionalFormatting>
  <conditionalFormatting sqref="AB3:AB1000">
    <cfRule type="expression" dxfId="2" priority="82">
      <formula>AND(OR(RIGHT($Q3,8)="Province",RIGHT($Q3,4)="City",RIGHT($Q3,6)="County",RIGHT($Q3,8)="District",RIGHT($Q3,8)="Township"),ISBLANK($AB3))</formula>
    </cfRule>
    <cfRule type="expression" dxfId="2" priority="83">
      <formula>AND(OR(RIGHT($Q3,1)="省",RIGHT($Q3,1)="市",RIGHT($Q3,1)="区",RIGHT($Q3,1)="县",RIGHT($Q3,1)="镇",RIGHT($Q3,1)="乡"),ISBLANK($AB3))</formula>
    </cfRule>
    <cfRule type="expression" dxfId="2" priority="84">
      <formula>AND(OR(RIGHT($Q3,1)="省",RIGHT($Q3,1)="市",RIGHT($Q3,1)="區",RIGHT($Q3,1)="縣",RIGHT($Q3,1)="鎮",RIGHT($Q3,1)="鄉"),ISBLANK($AB3))</formula>
    </cfRule>
    <cfRule type="expression" dxfId="2" priority="85">
      <formula>AND(OR($G3="澳门",$G3="澳門",$G3="Macau",$G3="澳門/Macau"),OR($Q3="Hong Kong",$Q3="Hong Kong, China",$Q3="HK",$Q3="HKSAR",$Q3="Taiwan",$Q3="Taiwan, China"),ISBLANK($AB3))</formula>
    </cfRule>
    <cfRule type="expression" dxfId="2" priority="86">
      <formula>AND(OR($G3="澳门",$G3="澳門",$G3="Macau",$G3="澳門/Macau"),OR($Q3="香港",$Q3="中国香港",$Q3="香港特别行政区",$Q3="台湾",$Q3="中国台湾"),ISBLANK($AB3))</formula>
    </cfRule>
    <cfRule type="expression" dxfId="2" priority="87">
      <formula>AND(OR($G3="澳门",$G3="澳門",$G3="Macau",$G3="澳門/Macau"),OR($Q3="香港",$Q3="中國香港",$Q3="香港特別行政區",$Q3="台灣",$Q3="中國台灣"),ISBLANK($AB3))</formula>
    </cfRule>
    <cfRule type="expression" dxfId="2" priority="88">
      <formula>AND(OR($G3="香港",$G3="Hong Kong",$G3="香港/Hong Kong"),OR($Q3="Macau",$Q3="Macau, China",$Q3="Taiwan",$Q3="Taiwan, China"),ISBLANK($AB3))</formula>
    </cfRule>
    <cfRule type="expression" dxfId="2" priority="89">
      <formula>AND(OR($G3="香港",$G3="Hong Kong",$G3="香港/Hong Kong"),OR($Q3="澳门",$Q3="中国澳门",$Q3="澳门特别行政区",$Q3="台湾",$Q3="中国台湾"),ISBLANK($AB3))</formula>
    </cfRule>
    <cfRule type="expression" dxfId="2" priority="90">
      <formula>AND(OR($G3="香港",$G3="Hong Kong",$G3="香港/Hong Kong"),OR($Q3="澳門",$Q3="中國澳門",$Q3="澳門特別行政區",$Q3="台灣",$Q3="中國台灣"),ISBLANK($AB3))</formula>
    </cfRule>
    <cfRule type="expression" dxfId="2" priority="91">
      <formula>AND(LEN($AA3)&lt;&gt;0,ISBLANK($AB3))</formula>
    </cfRule>
  </conditionalFormatting>
  <conditionalFormatting sqref="AC3:AC1000">
    <cfRule type="expression" dxfId="2" priority="73">
      <formula>AND(OR(RIGHT($Q3,8)="Province",RIGHT($Q3,4)="City",RIGHT($Q3,6)="County",RIGHT($Q3,8)="District",RIGHT($Q3,8)="Township"),ISBLANK($AC3))</formula>
    </cfRule>
    <cfRule type="expression" dxfId="2" priority="74">
      <formula>AND(OR(RIGHT($Q3,1)="省",RIGHT($Q3,1)="市",RIGHT($Q3,1)="区",RIGHT($Q3,1)="县",RIGHT($Q3,1)="镇",RIGHT($Q3,1)="乡"),ISBLANK($AC3))</formula>
    </cfRule>
    <cfRule type="expression" dxfId="2" priority="75">
      <formula>AND(OR(RIGHT($Q3,1)="省",RIGHT($Q3,1)="市",RIGHT($Q3,1)="區",RIGHT($Q3,1)="縣",RIGHT($Q3,1)="鎮",RIGHT($Q3,1)="鄉"),ISBLANK($AC3))</formula>
    </cfRule>
    <cfRule type="expression" dxfId="2" priority="76">
      <formula>AND(OR($G3="澳门",$G3="澳門",$G3="Macau",$G3="澳門/Macau"),OR($Q3="Hong Kong",$Q3="Hong Kong, China",$Q3="HK",$Q3="HKSAR",$Q3="Taiwan",$Q3="Taiwan, China"),ISBLANK($AC3))</formula>
    </cfRule>
    <cfRule type="expression" dxfId="2" priority="77">
      <formula>AND(OR($G3="澳门",$G3="澳門",$G3="Macau",$G3="澳門/Macau"),OR($Q3="香港",$Q3="中国香港",$Q3="香港特别行政区",$Q3="台湾",$Q3="中国台湾"),ISBLANK($AC3))</formula>
    </cfRule>
    <cfRule type="expression" dxfId="2" priority="78">
      <formula>AND(OR($G3="澳门",$G3="澳門",$G3="Macau",$G3="澳門/Macau"),OR($Q3="香港",$Q3="中國香港",$Q3="香港特別行政區",$Q3="台灣",$Q3="中國台灣"),ISBLANK($AC3))</formula>
    </cfRule>
    <cfRule type="expression" dxfId="2" priority="79">
      <formula>AND(OR($G3="香港",$G3="Hong Kong",$G3="香港/Hong Kong"),OR($Q3="Macau",$Q3="Macau, China",$Q3="Taiwan",$Q3="Taiwan, China"),ISBLANK($AC3))</formula>
    </cfRule>
    <cfRule type="expression" dxfId="2" priority="80">
      <formula>AND(OR($G3="香港",$G3="Hong Kong",$G3="香港/Hong Kong"),OR($Q3="澳门",$Q3="中国澳门",$Q3="澳门特别行政区",$Q3="台湾",$Q3="中国台湾"),ISBLANK($AC3))</formula>
    </cfRule>
    <cfRule type="expression" dxfId="2" priority="81">
      <formula>AND(OR($G3="香港",$G3="Hong Kong",$G3="香港/Hong Kong"),OR($Q3="澳門",$Q3="中國澳門",$Q3="澳門特別行政區",$Q3="台灣",$Q3="中國台灣"),ISBLANK($AC3))</formula>
    </cfRule>
  </conditionalFormatting>
  <conditionalFormatting sqref="AD4:AD1000">
    <cfRule type="expression" dxfId="1" priority="56">
      <formula>AND(LEN($A3)&lt;&gt;0,LEN($A4)&lt;&gt;0,$A3=$A4)</formula>
    </cfRule>
  </conditionalFormatting>
  <conditionalFormatting sqref="AE4:AE1000">
    <cfRule type="expression" dxfId="1" priority="55">
      <formula>AND(LEN($A3)&lt;&gt;0,LEN($A4)&lt;&gt;0,$A3=$A4)</formula>
    </cfRule>
  </conditionalFormatting>
  <conditionalFormatting sqref="AF4:AF1000">
    <cfRule type="expression" dxfId="1" priority="21">
      <formula>AND(LEN($A3)&lt;&gt;0,LEN($A4)&lt;&gt;0,$A3=$A4)</formula>
    </cfRule>
  </conditionalFormatting>
  <conditionalFormatting sqref="AG4:AG1000">
    <cfRule type="expression" dxfId="1" priority="54">
      <formula>AND(LEN($A3)&lt;&gt;0,LEN($A4)&lt;&gt;0,$A3=$A4)</formula>
    </cfRule>
  </conditionalFormatting>
  <conditionalFormatting sqref="AH4:AH1000">
    <cfRule type="expression" dxfId="1" priority="53">
      <formula>AND(LEN($A3)&lt;&gt;0,LEN($A4)&lt;&gt;0,$A3=$A4)</formula>
    </cfRule>
  </conditionalFormatting>
  <conditionalFormatting sqref="AI3:AI1000">
    <cfRule type="expression" dxfId="2" priority="176">
      <formula>AND(OR(RIGHT($Q3,8)="Province",RIGHT($Q3,4)="City",RIGHT($Q3,6)="County",RIGHT($Q3,8)="District",RIGHT($Q3,8)="Township"),ISBLANK($AI3),ISBLANK($AJ3))</formula>
    </cfRule>
    <cfRule type="expression" dxfId="2" priority="177">
      <formula>AND(OR(RIGHT($Q3,1)="省",RIGHT($Q3,1)="市",RIGHT($Q3,1)="区",RIGHT($Q3,1)="县",RIGHT($Q3,1)="镇",RIGHT($Q3,1)="乡"),ISBLANK($AI3),ISBLANK($AJ3))</formula>
    </cfRule>
    <cfRule type="expression" dxfId="2" priority="178">
      <formula>AND(OR(RIGHT($Q3,1)="省",RIGHT($Q3,1)="市",RIGHT($Q3,1)="區",RIGHT($Q3,1)="縣",RIGHT($Q3,1)="鎮",RIGHT($Q3,1)="鄉"),ISBLANK($AI3),ISBLANK($AJ3))</formula>
    </cfRule>
    <cfRule type="expression" dxfId="2" priority="179">
      <formula>AND(OR($G3="澳门",$G3="澳門",$G3="Macau",$G3="澳門/Macau"),OR($Q3="香港",$Q3="中國香港",$Q3="香港特別行政區",$Q3="台灣",$Q3="中國台灣"),ISBLANK($AI3),ISBLANK($AJ3))</formula>
    </cfRule>
    <cfRule type="expression" dxfId="2" priority="180">
      <formula>AND(OR($G3="澳门",$G3="澳門",$G3="Macau",$G3="澳門/Macau"),OR($Q3="香港",$Q3="中国香港",$Q3="香港特别行政区",$Q3="台湾",$Q3="中国台湾"),ISBLANK($AI3),ISBLANK($AJ3))</formula>
    </cfRule>
    <cfRule type="expression" dxfId="2" priority="181">
      <formula>AND(OR($G3="澳门",$G3="澳門",$G3="Macau",$G3="澳門/Macau"),OR($Q3="Hong Kong",$Q3="Hong Kong, China",$Q3="HK",$Q3="HKSAR",$Q3="Taiwan",$Q3="Taiwan, China"),ISBLANK($AI3),ISBLANK($AJ3))</formula>
    </cfRule>
    <cfRule type="expression" dxfId="2" priority="182">
      <formula>AND(OR($G3="香港",$G3="Hong Kong",$G3="香港/Hong Kong"),OR($Q3="Macau",$Q3="Macau, China",$Q3="Taiwan",$Q3="Taiwan, China"),ISBLANK($AI3),ISBLANK($AJ3))</formula>
    </cfRule>
    <cfRule type="expression" dxfId="2" priority="183">
      <formula>AND(OR($G3="香港",$G3="Hong Kong",$G3="香港/Hong Kong"),OR($Q3="澳门",$Q3="中国澳门",$Q3="澳门特别行政区",$Q3="台湾",$Q3="中国台湾"),ISBLANK($AI3),ISBLANK($AJ3))</formula>
    </cfRule>
    <cfRule type="expression" dxfId="2" priority="184">
      <formula>AND(OR($G3="香港",$G3="Hong Kong",$G3="香港/Hong Kong"),OR($Q3="澳門",$Q3="中國澳門",$Q3="澳門特別行政區",$Q3="台灣",$Q3="中國台灣"),ISBLANK($AI3),ISBLANK($AJ3))</formula>
    </cfRule>
  </conditionalFormatting>
  <conditionalFormatting sqref="AI4:AI1000">
    <cfRule type="expression" dxfId="1" priority="175">
      <formula>AND(LEN($A3)&lt;&gt;0,LEN($A4)&lt;&gt;0,$A3=$A4)</formula>
    </cfRule>
  </conditionalFormatting>
  <conditionalFormatting sqref="AJ3:AJ1000">
    <cfRule type="expression" dxfId="1" priority="49">
      <formula>AND(OR($AI3="寄付現結/Pay by Sender",$AI3="寄付现结",$AI3="寄付現結",$AI3="Pay by Sender"),COUNTBLANK($AJ$3)=1)</formula>
    </cfRule>
    <cfRule type="expression" dxfId="2" priority="156">
      <formula>AND(OR(RIGHT($Q3,1)="省",RIGHT($Q3,1)="市",RIGHT($Q3,1)="區",RIGHT($Q3,1)="縣",RIGHT($Q3,1)="鎮",RIGHT($Q3,1)="鄉"),ISBLANK($AI3),ISBLANK($AJ3))</formula>
    </cfRule>
    <cfRule type="expression" dxfId="2" priority="157">
      <formula>AND(OR(RIGHT($Q3,1)="省",RIGHT($Q3,1)="市",RIGHT($Q3,1)="区",RIGHT($Q3,1)="县",RIGHT($Q3,1)="镇",RIGHT($Q3,1)="乡"),ISBLANK($AI3),ISBLANK($AJ3))</formula>
    </cfRule>
    <cfRule type="expression" dxfId="2" priority="158">
      <formula>AND(OR(RIGHT($Q3,8)="Province",RIGHT($Q3,4)="City",RIGHT($Q3,6)="County",RIGHT($Q3,8)="District",RIGHT($Q3,8)="Township"),ISBLANK($AI3),ISBLANK($AJ3))</formula>
    </cfRule>
    <cfRule type="expression" dxfId="2" priority="159">
      <formula>AND(OR($G3="澳门",$G3="澳門",$G3="Macau",$G3="澳門/Macau"),OR($Q3="Hong Kong",$Q3="Hong Kong, China",$Q3="HK",$Q3="HKSAR",$Q3="Taiwan",$Q3="Taiwan, China"),ISBLANK($AI3),ISBLANK($AJ3))</formula>
    </cfRule>
    <cfRule type="expression" dxfId="2" priority="160">
      <formula>AND(OR($G3="澳门",$G3="澳門",$G3="Macau",$G3="澳門/Macau"),OR($Q3="香港",$Q3="中国香港",$Q3="香港特别行政区",$Q3="台湾",$Q3="中国台湾"),ISBLANK($AI3),ISBLANK($AJ3))</formula>
    </cfRule>
    <cfRule type="expression" dxfId="2" priority="161">
      <formula>AND(OR($G3="澳门",$G3="澳門",$G3="Macau",$G3="澳門/Macau"),OR($Q3="香港",$Q3="中國香港",$Q3="香港特別行政區",$Q3="台灣",$Q3="中國台灣"),ISBLANK($AI3),ISBLANK($AJ3))</formula>
    </cfRule>
    <cfRule type="expression" dxfId="2" priority="162">
      <formula>AND(OR($G3="香港",$G3="Hong Kong",$G3="香港/Hong Kong"),OR($Q3="Macau",$Q3="Macau, China",$Q3="Taiwan",$Q3="Taiwan, China"),ISBLANK($AI3),ISBLANK($AJ3))</formula>
    </cfRule>
    <cfRule type="expression" dxfId="2" priority="163">
      <formula>AND(OR($G3="香港",$G3="Hong Kong",$G3="香港/Hong Kong"),OR($Q3="澳门",$Q3="中国澳门",$Q3="澳门特别行政区",$Q3="台湾",$Q3="中国台湾"),ISBLANK($AI3),ISBLANK($AJ3))</formula>
    </cfRule>
    <cfRule type="expression" dxfId="2" priority="164">
      <formula>AND(OR($G3="香港",$G3="Hong Kong",$G3="香港/Hong Kong"),OR($Q3="澳門",$Q3="中國澳門",$Q3="澳門特別行政區",$Q3="台灣",$Q3="中國台灣"),ISBLANK($AI3),ISBLANK($AJ3))</formula>
    </cfRule>
    <cfRule type="expression" dxfId="2" priority="165">
      <formula>AND(OR(RIGHT($Q3,1)="省",RIGHT($Q3,1)="市",RIGHT($Q3,1)="區",RIGHT($Q3,1)="縣",RIGHT($Q3,1)="鎮",RIGHT($Q3,1)="鄉"),OR($AI3="寄付月結/Pay by Sender (Credit Account)",$AI3="寄付月结",$AI3="寄付月結",$AI3="Pay by Sender (Credit Account)"),ISBLANK($AJ3))</formula>
    </cfRule>
    <cfRule type="expression" dxfId="2" priority="166">
      <formula>AND(OR(RIGHT($Q3,1)="省",RIGHT($Q3,1)="市",RIGHT($Q3,1)="区",RIGHT($Q3,1)="县",RIGHT($Q3,1)="镇",RIGHT($Q3,1)="乡"),OR($AI3="寄付月結/Pay by Sender (Credit Account)",$AI3="寄付月结",$AI3="寄付月結",$AI3="Pay by Sender (Credit Account)"),ISBLANK($AJ3))</formula>
    </cfRule>
    <cfRule type="expression" dxfId="2" priority="167">
      <formula>AND(OR(RIGHT($Q3,8)="Province",RIGHT($Q3,4)="City",RIGHT($Q3,6)="County",RIGHT($Q3,8)="District",RIGHT($Q3,8)="Township"),OR($AI3="寄付月結/Pay by Sender (Credit Account)",$AI3="寄付月结",$AI3="寄付月結",$AI3="Pay by Sender (Credit Account)"),ISBLANK($AJ3))</formula>
    </cfRule>
    <cfRule type="expression" dxfId="2" priority="168">
      <formula>AND(OR($G3="澳门",$G3="澳門",$G3="Macau",$G3="澳門/Macau"),OR($Q3="Hong Kong",$Q3="Hong Kong, China",$Q3="HK",$Q3="HKSAR",$Q3="Taiwan",$Q3="Taiwan, China"),OR($AI3="寄付月結/Pay by Sender (Credit Account)",$AI3="寄付月结",$AI3="寄付月結",$AI3="Pay by Sender (Credit Account)"),ISBLANK($AJ3))</formula>
    </cfRule>
    <cfRule type="expression" dxfId="2" priority="169">
      <formula>AND(OR($G3="澳门",$G3="澳門",$G3="Macau",$G3="澳門/Macau"),OR($Q3="香港",$Q3="中国香港",$Q3="香港特别行政区",$Q3="台湾",$Q3="中国台湾"),OR($AI3="寄付月結/Pay by Sender (Credit Account)",$AI3="寄付月结",$AI3="寄付月結",$AI3="Pay by Sender (Credit Account)"),ISBLANK($AJ3))</formula>
    </cfRule>
    <cfRule type="expression" dxfId="2" priority="170">
      <formula>AND(OR($G3="澳门",$G3="澳門",$G3="Macau",$G3="澳門/Macau"),OR($Q3="香港",$Q3="中國香港",$Q3="香港特別行政區",$Q3="台灣",$Q3="中國台灣"),OR($AI3="寄付月結/Pay by Sender (Credit Account)",$AI3="寄付月结",$AI3="寄付月結",$AI3="Pay by Sender (Credit Account)"),ISBLANK($AJ3))</formula>
    </cfRule>
    <cfRule type="expression" dxfId="2" priority="171">
      <formula>AND(OR($G3="香港",$G3="Hong Kong",$G3="香港/Hong Kong"),OR($Q3="Macau",$Q3="Macau, China",$Q3="Taiwan",$Q3="Taiwan, China"),OR($AI3="寄付月結/Pay by Sender (Credit Account)",$AI3="寄付月结",$AI3="寄付月結",$AI3="Pay by Sender (Credit Account)"),ISBLANK($AJ3))</formula>
    </cfRule>
    <cfRule type="expression" dxfId="2" priority="172">
      <formula>AND(OR($G3="香港",$G3="Hong Kong",$G3="香港/Hong Kong"),OR($Q3="澳门",$Q3="中国澳门",$Q3="澳门特别行政区",$Q3="台湾",$Q3="中国台湾"),OR($AI3="寄付月結/Pay by Sender (Credit Account)",$AI3="寄付月结",$AI3="寄付月結",$AI3="Pay by Sender (Credit Account)"),ISBLANK($AJ3))</formula>
    </cfRule>
    <cfRule type="expression" dxfId="2" priority="173">
      <formula>AND(OR($G3="香港",$G3="Hong Kong",$G3="香港/Hong Kong"),OR($Q3="澳門",$Q3="中國澳門",$Q3="澳門特別行政區",$Q3="台灣",$Q3="中國台灣"),OR($AI3="寄付月結/Pay by Sender (Credit Account)",$AI3="寄付月结",$AI3="寄付月結",$AI3="Pay by Sender (Credit Account)"),ISBLANK($AJ3))</formula>
    </cfRule>
    <cfRule type="expression" dxfId="1" priority="174">
      <formula>AND(OR($AI3="到付/Pay by Recipient",$AI3="到付",$AI3="Pay by Recipient"),COUNTBLANK($AJ$3)=1)</formula>
    </cfRule>
  </conditionalFormatting>
  <conditionalFormatting sqref="AJ4:AJ1000">
    <cfRule type="expression" dxfId="1" priority="155">
      <formula>AND(LEN($A3)&lt;&gt;0,LEN($A4)&lt;&gt;0,$A3=$A4)</formula>
    </cfRule>
  </conditionalFormatting>
  <conditionalFormatting sqref="AK3:AK1000">
    <cfRule type="expression" dxfId="4" priority="188">
      <formula>AND($AK3&lt;TODAY(),COUNTBLANK($AK3)=0)</formula>
    </cfRule>
    <cfRule type="expression" dxfId="4" priority="189">
      <formula>AND($AK3&gt;TODAY()+2,COUNTBLANK($AK3)=0)</formula>
    </cfRule>
    <cfRule type="expression" dxfId="2" priority="190">
      <formula>AND(COUNTBLANK($AK3)=1,COUNTBLANK($AL3)=0)</formula>
    </cfRule>
  </conditionalFormatting>
  <conditionalFormatting sqref="AK4:AK1000">
    <cfRule type="expression" dxfId="1" priority="187">
      <formula>AND(LEN($A3)&lt;&gt;0,LEN($A4)&lt;&gt;0,$A3=$A4)</formula>
    </cfRule>
  </conditionalFormatting>
  <conditionalFormatting sqref="AL3:AL1000">
    <cfRule type="expression" dxfId="2" priority="186">
      <formula>AND(COUNTBLANK($AK3)=0,COUNTBLANK($AL3)=1)</formula>
    </cfRule>
  </conditionalFormatting>
  <conditionalFormatting sqref="AL4:AL100">
    <cfRule type="expression" dxfId="1" priority="185">
      <formula>AND(LEN($A3)&lt;&gt;0,LEN($A4)&lt;&gt;0,$A3=$A4)</formula>
    </cfRule>
  </conditionalFormatting>
  <conditionalFormatting sqref="AM4:AM1000">
    <cfRule type="expression" dxfId="1" priority="72">
      <formula>AND(LEN($A3)&lt;&gt;0,LEN($A4)&lt;&gt;0,$A3=$A4)</formula>
    </cfRule>
  </conditionalFormatting>
  <conditionalFormatting sqref="AN4:AN1000">
    <cfRule type="expression" dxfId="1" priority="52">
      <formula>AND(LEN($A3)&lt;&gt;0,LEN($A4)&lt;&gt;0,$A3=$A4)</formula>
    </cfRule>
  </conditionalFormatting>
  <conditionalFormatting sqref="AO4:AO1000">
    <cfRule type="expression" dxfId="1" priority="51">
      <formula>AND(LEN($A3)&lt;&gt;0,LEN($A4)&lt;&gt;0,$A3=$A4)</formula>
    </cfRule>
  </conditionalFormatting>
  <conditionalFormatting sqref="AP3:AP1000">
    <cfRule type="expression" dxfId="2" priority="192">
      <formula>AND(COUNT(SEARCH(4,AO3))&lt;&gt;0,ISBLANK($AP3))</formula>
    </cfRule>
  </conditionalFormatting>
  <conditionalFormatting sqref="AP4:AP1000">
    <cfRule type="expression" dxfId="1" priority="191">
      <formula>AND(LEN($A3)&lt;&gt;0,LEN($A4)&lt;&gt;0,$A3=$A4)</formula>
    </cfRule>
  </conditionalFormatting>
  <conditionalFormatting sqref="AQ4:AQ1000">
    <cfRule type="expression" dxfId="1" priority="50">
      <formula>AND(LEN($A3)&lt;&gt;0,LEN($A4)&lt;&gt;0,$A3=$A4)</formula>
    </cfRule>
  </conditionalFormatting>
  <conditionalFormatting sqref="AR3:AR1000">
    <cfRule type="expression" dxfId="2" priority="195">
      <formula>AND(COUNTBLANK($AR3)=1,COUNTBLANK($AS3)=0)</formula>
    </cfRule>
  </conditionalFormatting>
  <conditionalFormatting sqref="AR4:AR1000">
    <cfRule type="expression" dxfId="1" priority="194">
      <formula>AND(LEN($A3)&lt;&gt;0,LEN($A4)&lt;&gt;0,$A3=$A4)</formula>
    </cfRule>
  </conditionalFormatting>
  <conditionalFormatting sqref="AS3:AS1000">
    <cfRule type="expression" dxfId="2" priority="196">
      <formula>AND(COUNTBLANK($AR3)=0,COUNTBLANK($AS3)=1)</formula>
    </cfRule>
  </conditionalFormatting>
  <conditionalFormatting sqref="AS4:AS1000">
    <cfRule type="expression" dxfId="1" priority="193">
      <formula>AND(LEN($A3)&lt;&gt;0,LEN($A4)&lt;&gt;0,$A3=$A4)</formula>
    </cfRule>
  </conditionalFormatting>
  <conditionalFormatting sqref="AT3:AT1000">
    <cfRule type="expression" dxfId="2" priority="30">
      <formula>AND(OR($Q3="Macau",$Q3="Macau,China"),($AD3&gt;=20),ISBLANK($AT3))</formula>
    </cfRule>
    <cfRule type="expression" dxfId="2" priority="31">
      <formula>AND(OR($Q3="澳门",$Q3="中国澳门",$Q3="澳门特别行政区"),($AD3&gt;=20),ISBLANK($AT3))</formula>
    </cfRule>
    <cfRule type="expression" dxfId="2" priority="32">
      <formula>AND(OR($Q3="澳門",$Q3="中國澳門",$Q3="澳門特別行政區"),($AD3&gt;=20),ISBLANK($AT3))</formula>
    </cfRule>
    <cfRule type="expression" dxfId="2" priority="33">
      <formula>AND(OR($Q3="Hong Kong",$Q3="Hong Kong,China",$Q3="HK",$Q3="HKSAR"),($AD3&gt;=20),ISBLANK($AT3))</formula>
    </cfRule>
    <cfRule type="expression" dxfId="2" priority="34">
      <formula>AND(OR($Q3="香港",$Q3="中国香港",$Q3="香港特别行政区"),($AD3&gt;=20),ISBLANK($AT3))</formula>
    </cfRule>
    <cfRule type="expression" dxfId="2" priority="36">
      <formula>AND(OR($Q3="香港",$Q3="中國香港",$Q3="香港特別行政區"),($AD3&gt;=20),ISBLANK($AT3))</formula>
    </cfRule>
  </conditionalFormatting>
  <conditionalFormatting sqref="AT4:AT1000">
    <cfRule type="expression" dxfId="1" priority="35">
      <formula>AND(LEN($A3)&lt;&gt;0,LEN($A4)&lt;&gt;0,$A3=$A4)</formula>
    </cfRule>
  </conditionalFormatting>
  <conditionalFormatting sqref="AU3:AU1000">
    <cfRule type="expression" dxfId="1" priority="23">
      <formula>COUNT(SEARCH("送貨上樓（無需行樓梯）/Upstairs Delivery (no climb stairs required)",$AT3))&lt;&gt;0</formula>
    </cfRule>
    <cfRule type="expression" dxfId="2" priority="24">
      <formula>AND(OR($AT3="送貨上樓（需行樓梯）",$AT3="Upstairs Delivery (climb stairs required)",$AT3="送貨上樓（需行樓梯）/Upstairs Delivery (climb stairs required)"),ISBLANK($AU3))</formula>
    </cfRule>
    <cfRule type="expression" dxfId="1" priority="25">
      <formula>COUNT(SEARCH("自提點/樓下自取/Self-pickup/Ground floor pickup",$AT3))&lt;&gt;0</formula>
    </cfRule>
  </conditionalFormatting>
  <conditionalFormatting sqref="AU4:AU1000">
    <cfRule type="expression" dxfId="1" priority="22">
      <formula>AND(LEN($A3)&lt;&gt;0,LEN($A4)&lt;&gt;0,$A3=$A4)</formula>
    </cfRule>
  </conditionalFormatting>
  <conditionalFormatting sqref="AV3:AV1000">
    <cfRule type="expression" dxfId="2" priority="8">
      <formula>AND($AW3&lt;&gt;"",$AV3="")</formula>
    </cfRule>
    <cfRule type="expression" dxfId="2" priority="6">
      <formula>AND($AX3&lt;&gt;"",$AV3="")</formula>
    </cfRule>
  </conditionalFormatting>
  <conditionalFormatting sqref="AV5:AV1000">
    <cfRule type="expression" dxfId="1" priority="15">
      <formula>AND(LEN($A4)&lt;&gt;0,LEN($A5)&lt;&gt;0,$A4=$A5)</formula>
    </cfRule>
  </conditionalFormatting>
  <conditionalFormatting sqref="AW3:AW1000">
    <cfRule type="expression" dxfId="1" priority="11">
      <formula>OR($AV3="不選擇",$AV3="不选择",$AV3="No card")</formula>
    </cfRule>
    <cfRule type="expression" dxfId="2" priority="10">
      <formula>AND($AV3&lt;&gt;"",$AW3="",NOT(OR($AV3="No card",$AV3="不选择",$AV3="不選擇")))</formula>
    </cfRule>
    <cfRule type="expression" dxfId="2" priority="5">
      <formula>AND($AX3&lt;&gt;"",$AW3="")</formula>
    </cfRule>
  </conditionalFormatting>
  <conditionalFormatting sqref="AW4:AW1000">
    <cfRule type="expression" dxfId="1" priority="14">
      <formula>AND(LEN($A3)&lt;&gt;0,LEN($A4)&lt;&gt;0,$A3=$A4)</formula>
    </cfRule>
  </conditionalFormatting>
  <conditionalFormatting sqref="AX3:AX1000">
    <cfRule type="expression" dxfId="1" priority="12">
      <formula>OR($AV3="不選擇",$AV3="不选择",$AV3="No card")</formula>
    </cfRule>
    <cfRule type="expression" dxfId="2" priority="9">
      <formula>AND($AV3&lt;&gt;"",$AX3="",NOT(OR($AV3="No card",$AV3="不选择",$AV3="不選擇")))</formula>
    </cfRule>
    <cfRule type="expression" dxfId="2" priority="7">
      <formula>AND($AW3&lt;&gt;"",$AX3="")</formula>
    </cfRule>
  </conditionalFormatting>
  <conditionalFormatting sqref="AX4:AX1000">
    <cfRule type="expression" dxfId="1" priority="13">
      <formula>AND(LEN($A3)&lt;&gt;0,LEN($A4)&lt;&gt;0,$A3=$A4)</formula>
    </cfRule>
  </conditionalFormatting>
  <conditionalFormatting sqref="BA4:BA1000">
    <cfRule type="expression" dxfId="1" priority="1">
      <formula>AND(LEN($A3)&lt;&gt;0,LEN($A4)&lt;&gt;0,$A3=$A4)</formula>
    </cfRule>
  </conditionalFormatting>
  <conditionalFormatting sqref="AY3:AY5 AY7:AY1000">
    <cfRule type="expression" dxfId="4" priority="20">
      <formula>AND($AY3&lt;TODAY(),COUNTBLANK($AY3)=0)</formula>
    </cfRule>
    <cfRule type="expression" dxfId="4" priority="19">
      <formula>AND($AZ3&lt;&gt;"",$AY3="")</formula>
    </cfRule>
  </conditionalFormatting>
  <conditionalFormatting sqref="AZ3:AZ5 AZ7:AZ1000">
    <cfRule type="expression" dxfId="2" priority="17">
      <formula>AND($AY3&lt;&gt;"",$AZ3="")</formula>
    </cfRule>
  </conditionalFormatting>
  <conditionalFormatting sqref="AY4:AY5 AY7:AY1000">
    <cfRule type="expression" dxfId="1" priority="18">
      <formula>AND(LEN($A3)&lt;&gt;0,LEN($A4)&lt;&gt;0,$A3=$A4)</formula>
    </cfRule>
  </conditionalFormatting>
  <conditionalFormatting sqref="AZ4:AZ5 AZ7:AZ1000">
    <cfRule type="expression" dxfId="1" priority="16">
      <formula>AND(LEN($A3)&lt;&gt;0,LEN($A4)&lt;&gt;0,$A3=$A4)</formula>
    </cfRule>
  </conditionalFormatting>
  <dataValidations count="15">
    <dataValidation type="list" allowBlank="1" showInputMessage="1" showErrorMessage="1" sqref="AX1 AX3:AX1048576">
      <formula1>'元素 Info'!$O$2:$O$7</formula1>
    </dataValidation>
    <dataValidation type="list" allowBlank="1" showInputMessage="1" showErrorMessage="1" sqref="C1 C3:C1048547">
      <formula1>'元素 Info'!$B$2:$B$4</formula1>
    </dataValidation>
    <dataValidation type="list" allowBlank="1" showInputMessage="1" showErrorMessage="1" sqref="G1 G3 G4 G5:G1048547">
      <formula1>寄件方城市</formula1>
    </dataValidation>
    <dataValidation type="list" allowBlank="1" showInputMessage="1" showErrorMessage="1" sqref="L1 L3:L1048547">
      <formula1>'元素 Info'!$C$2:$C$5</formula1>
    </dataValidation>
    <dataValidation allowBlank="1" showInputMessage="1" showErrorMessage="1" sqref="W1:AC1 AG1 AH1:AJ1 AK1:AL1 C2 D2 E2 G2 H2 I2 J2 L2 M2 N2 P2 Q2 R2 S2 T2 V2 Z2 AB2 AC2 AG2 AH2 AI2 AJ2 AK2 AQ2 AT2 U1:U2 U101:U119 U120:U139 U140:U170 U171:U187 U188:U204 U205:U214 U215:U1048547"/>
    <dataValidation type="list" allowBlank="1" showInputMessage="1" showErrorMessage="1" sqref="AQ1 AQ3:AQ1048547">
      <formula1>'元素 Info'!$K$2</formula1>
    </dataValidation>
    <dataValidation type="list" allowBlank="1" showInputMessage="1" showErrorMessage="1" sqref="U3 U4:U91 U92:U100">
      <formula1>IF(O3&lt;&gt;"",'元素 Info'!$D$5,'元素 Info'!$D$2:$D$4)</formula1>
    </dataValidation>
    <dataValidation type="list" allowBlank="1" showInputMessage="1" showErrorMessage="1" sqref="AT1 AT3:AT1048576">
      <formula1>'元素 Info'!$M$2:$M$4</formula1>
    </dataValidation>
    <dataValidation type="list" allowBlank="1" showInputMessage="1" showErrorMessage="1" sqref="AG3 AG4:AG1048547">
      <formula1>'元素 Info'!$I$2:$I$17</formula1>
    </dataValidation>
    <dataValidation type="list" allowBlank="1" showInputMessage="1" showErrorMessage="1" sqref="Z3:Z1048547">
      <formula1>'元素 Info'!$E$2:$E$38</formula1>
    </dataValidation>
    <dataValidation type="list" allowBlank="1" showInputMessage="1" showErrorMessage="1" sqref="AB3:AB1048547">
      <formula1>'元素 Info'!$F$2:$F$12</formula1>
    </dataValidation>
    <dataValidation type="list" allowBlank="1" showInputMessage="1" showErrorMessage="1" sqref="AC3:AC1048547">
      <formula1>'元素 Info'!$G$2:$G$242</formula1>
    </dataValidation>
    <dataValidation type="list" allowBlank="1" showInputMessage="1" showErrorMessage="1" sqref="AH3:AH1048547">
      <formula1>'元素 Info'!$H$2:$H$4</formula1>
    </dataValidation>
    <dataValidation type="list" allowBlank="1" showInputMessage="1" showErrorMessage="1" sqref="AI3:AI1048547">
      <formula1>'元素 Info'!$J$2:$J$4</formula1>
    </dataValidation>
    <dataValidation type="list" allowBlank="1" showInputMessage="1" showErrorMessage="1" sqref="AK3:AK1048576">
      <formula1>'元素 Info'!$L$2:$L$4</formula1>
    </dataValidation>
  </dataValidation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8"/>
  <sheetViews>
    <sheetView workbookViewId="0">
      <selection activeCell="A9" sqref="A9"/>
    </sheetView>
  </sheetViews>
  <sheetFormatPr defaultColWidth="9" defaultRowHeight="16.5" outlineLevelRow="7" outlineLevelCol="1"/>
  <cols>
    <col min="1" max="1" width="20.625" style="1" customWidth="1"/>
    <col min="2" max="2" width="20.625" style="2" customWidth="1"/>
    <col min="3" max="16384" width="9" style="3"/>
  </cols>
  <sheetData>
    <row r="1" ht="30" spans="1:2">
      <c r="A1" s="4" t="s">
        <v>436</v>
      </c>
      <c r="B1" s="4" t="s">
        <v>437</v>
      </c>
    </row>
    <row r="2" spans="1:2">
      <c r="A2" s="123" t="s">
        <v>438</v>
      </c>
      <c r="B2" s="6">
        <v>45238</v>
      </c>
    </row>
    <row r="3" spans="1:2">
      <c r="A3" s="123" t="s">
        <v>439</v>
      </c>
      <c r="B3" s="6">
        <v>45322</v>
      </c>
    </row>
    <row r="4" spans="1:2">
      <c r="A4" s="7">
        <v>1.2</v>
      </c>
      <c r="B4" s="6">
        <v>45714</v>
      </c>
    </row>
    <row r="5" spans="1:2">
      <c r="A5" s="7">
        <v>1.3</v>
      </c>
      <c r="B5" s="6">
        <v>45771</v>
      </c>
    </row>
    <row r="6" spans="1:2">
      <c r="A6" s="7">
        <v>1.4</v>
      </c>
      <c r="B6" s="6">
        <v>45812</v>
      </c>
    </row>
    <row r="7" spans="1:2">
      <c r="A7" s="7">
        <v>1.5</v>
      </c>
      <c r="B7" s="6">
        <v>45919</v>
      </c>
    </row>
    <row r="8" spans="1:2">
      <c r="A8" s="7">
        <v>1.6</v>
      </c>
      <c r="B8" s="6">
        <v>46052</v>
      </c>
    </row>
  </sheetData>
  <sheetProtection sheet="1" objects="1"/>
  <pageMargins left="0.7" right="0.7" top="0.75" bottom="0.75" header="0.3" footer="0.3"/>
  <pageSetup paperSize="9" orientation="portrait"/>
  <headerFooter/>
  <ignoredErrors>
    <ignoredError sqref="A2:A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運單訊息內容 Order Content</vt:lpstr>
      <vt:lpstr>元素 Info</vt:lpstr>
      <vt:lpstr>例子 Sample</vt:lpstr>
      <vt:lpstr>模板版本 Template Version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2024-11-22T02:06:00Z</dcterms:created>
  <dcterms:modified xsi:type="dcterms:W3CDTF">2026-04-27T03:28:21Z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2052-11.8.2.12287</vt:lpwstr>
  </property>
  <property fmtid="{D5CDD505-2E9C-101B-9397-08002B2CF9AE}" pid="3" name="ICV">
    <vt:lpwstr>DD09499F9D694E4194478D6F4D7C71D6</vt:lpwstr>
  </property>
</Properties>
</file>