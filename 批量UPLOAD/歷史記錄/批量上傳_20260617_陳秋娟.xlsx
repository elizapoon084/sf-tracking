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8125" windowHeight="12540" tabRatio="600" firstSheet="0" activeTab="0" autoFilterDateGrouping="1"/>
  </bookViews>
  <sheets>
    <sheet xmlns:r="http://schemas.openxmlformats.org/officeDocument/2006/relationships" name="運單訊息內容 Order Content" sheetId="1" state="visible" r:id="rId1"/>
    <sheet xmlns:r="http://schemas.openxmlformats.org/officeDocument/2006/relationships" name="元素 Info" sheetId="2" state="visible" r:id="rId2"/>
    <sheet xmlns:r="http://schemas.openxmlformats.org/officeDocument/2006/relationships" name="例子 Sample" sheetId="3" state="visible" r:id="rId3"/>
    <sheet xmlns:r="http://schemas.openxmlformats.org/officeDocument/2006/relationships" name="模板版本 Template Version" sheetId="4" state="visible" r:id="rId4"/>
  </sheets>
  <definedNames>
    <definedName name="寄件方城市">'元素 Info'!$A$2:$A$3</definedName>
    <definedName name="寄件方香港地區">'元素 Info'!#REF!</definedName>
    <definedName name="寄件方澳門地區">'元素 Info'!#REF!</definedName>
  </definedNames>
  <calcPr calcId="144525" fullCalcOnLoad="1"/>
</workbook>
</file>

<file path=xl/styles.xml><?xml version="1.0" encoding="utf-8"?>
<styleSheet xmlns="http://schemas.openxmlformats.org/spreadsheetml/2006/main">
  <numFmts count="4">
    <numFmt numFmtId="164" formatCode="0.00_);[Red]\(0.00\)"/>
    <numFmt numFmtId="165" formatCode="yyyy\-mm\-dd"/>
    <numFmt numFmtId="166" formatCode="h:mm;@"/>
    <numFmt numFmtId="167" formatCode="@&quot;（&quot;&quot;不&quot;&quot;需&quot;&quot;填&quot;&quot;寫&quot;&quot;詳&quot;&quot;細&quot;&quot;地&quot;&quot;址&quot;&quot;訊&quot;&quot;息&quot;&quot;）&quot;"/>
  </numFmts>
  <fonts count="32">
    <font>
      <name val="宋体"/>
      <charset val="134"/>
      <color theme="1"/>
      <sz val="11"/>
      <scheme val="minor"/>
    </font>
    <font>
      <name val="微软雅黑"/>
      <charset val="134"/>
      <color theme="1"/>
      <sz val="11"/>
    </font>
    <font>
      <name val="微软雅黑"/>
      <charset val="134"/>
      <b val="1"/>
      <color theme="1"/>
      <sz val="11"/>
    </font>
    <font>
      <name val="微软雅黑"/>
      <charset val="134"/>
      <b val="1"/>
      <color rgb="FFFF0000"/>
      <sz val="11"/>
    </font>
    <font>
      <name val="微软雅黑"/>
      <charset val="134"/>
      <b val="1"/>
      <sz val="11"/>
    </font>
    <font>
      <name val="微软雅黑"/>
      <charset val="134"/>
      <color theme="1"/>
      <sz val="10"/>
    </font>
    <font>
      <name val="微软雅黑"/>
      <charset val="134"/>
      <sz val="11"/>
    </font>
    <font>
      <name val="宋体"/>
      <charset val="0"/>
      <color rgb="FF800080"/>
      <sz val="11"/>
      <u val="single"/>
      <scheme val="minor"/>
    </font>
    <font>
      <name val="微软雅黑"/>
      <charset val="0"/>
      <color rgb="FF800080"/>
      <sz val="11"/>
      <u val="single"/>
    </font>
    <font>
      <name val="微软雅黑"/>
      <charset val="0"/>
      <color rgb="FF800080"/>
      <sz val="11"/>
    </font>
    <font>
      <name val="微软雅黑"/>
      <charset val="134"/>
      <b val="1"/>
      <color theme="1"/>
      <sz val="10"/>
    </font>
    <font>
      <name val="微软雅黑"/>
      <charset val="134"/>
      <sz val="10"/>
    </font>
    <font>
      <name val="微软雅黑"/>
      <charset val="134"/>
      <color rgb="FFFF0000"/>
      <sz val="11"/>
    </font>
    <font>
      <name val="宋体"/>
      <charset val="0"/>
      <color theme="1"/>
      <sz val="11"/>
      <scheme val="minor"/>
    </font>
    <font>
      <name val="宋体"/>
      <charset val="0"/>
      <color rgb="FF3F3F76"/>
      <sz val="11"/>
      <scheme val="minor"/>
    </font>
    <font>
      <name val="宋体"/>
      <charset val="0"/>
      <color rgb="FF9C0006"/>
      <sz val="11"/>
      <scheme val="minor"/>
    </font>
    <font>
      <name val="宋体"/>
      <charset val="0"/>
      <color theme="0"/>
      <sz val="11"/>
      <scheme val="minor"/>
    </font>
    <font>
      <name val="宋体"/>
      <charset val="0"/>
      <color rgb="FF0000FF"/>
      <sz val="11"/>
      <u val="single"/>
      <scheme val="minor"/>
    </font>
    <font>
      <name val="宋体"/>
      <charset val="134"/>
      <b val="1"/>
      <color theme="3"/>
      <sz val="11"/>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6500"/>
      <sz val="11"/>
      <scheme val="minor"/>
    </font>
    <font>
      <name val="宋体"/>
      <charset val="134"/>
      <sz val="9"/>
    </font>
  </fonts>
  <fills count="40">
    <fill>
      <patternFill/>
    </fill>
    <fill>
      <patternFill patternType="gray125"/>
    </fill>
    <fill>
      <patternFill patternType="solid">
        <fgColor theme="0" tint="-0.15"/>
        <bgColor indexed="64"/>
      </patternFill>
    </fill>
    <fill>
      <patternFill patternType="solid">
        <fgColor rgb="FFFFF2CC"/>
        <bgColor indexed="64"/>
      </patternFill>
    </fill>
    <fill>
      <patternFill patternType="solid">
        <fgColor theme="3" tint="0.8"/>
        <bgColor indexed="64"/>
      </patternFill>
    </fill>
    <fill>
      <patternFill patternType="solid">
        <fgColor theme="9" tint="0.8"/>
        <bgColor indexed="64"/>
      </patternFill>
    </fill>
    <fill>
      <patternFill patternType="solid">
        <fgColor theme="6" tint="0.8"/>
        <bgColor indexed="64"/>
      </patternFill>
    </fill>
    <fill>
      <patternFill patternType="solid">
        <fgColor rgb="FFFFE699"/>
        <bgColor indexed="64"/>
      </patternFill>
    </fill>
    <fill>
      <patternFill patternType="solid">
        <fgColor rgb="FFD5D5FF"/>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right/>
      <top/>
      <bottom style="thin">
        <color auto="1"/>
      </bottom>
      <diagonal/>
    </border>
    <border>
      <left style="thin">
        <color auto="1"/>
      </left>
      <right/>
      <top/>
      <bottom style="thin">
        <color auto="1"/>
      </bottom>
      <diagonal/>
    </border>
    <border>
      <left style="thin">
        <color auto="1"/>
      </left>
      <right/>
      <top/>
      <bottom/>
      <diagonal/>
    </border>
    <border>
      <left/>
      <right style="thin">
        <color auto="1"/>
      </right>
      <top/>
      <bottom style="thin">
        <color auto="1"/>
      </bottom>
      <diagonal/>
    </border>
    <border>
      <left/>
      <right style="thin">
        <color auto="1"/>
      </right>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2" fontId="0" fillId="0" borderId="0" applyAlignment="1">
      <alignment vertical="center"/>
    </xf>
    <xf numFmtId="0" fontId="13" fillId="9" borderId="0" applyAlignment="1">
      <alignment vertical="center"/>
    </xf>
    <xf numFmtId="0" fontId="14" fillId="10" borderId="8" applyAlignment="1">
      <alignment vertical="center"/>
    </xf>
    <xf numFmtId="44" fontId="0" fillId="0" borderId="0" applyAlignment="1">
      <alignment vertical="center"/>
    </xf>
    <xf numFmtId="41" fontId="0" fillId="0" borderId="0" applyAlignment="1">
      <alignment vertical="center"/>
    </xf>
    <xf numFmtId="0" fontId="13" fillId="11" borderId="0" applyAlignment="1">
      <alignment vertical="center"/>
    </xf>
    <xf numFmtId="0" fontId="15" fillId="12" borderId="0" applyAlignment="1">
      <alignment vertical="center"/>
    </xf>
    <xf numFmtId="43" fontId="0" fillId="0" borderId="0" applyAlignment="1">
      <alignment vertical="center"/>
    </xf>
    <xf numFmtId="0" fontId="16" fillId="13" borderId="0" applyAlignment="1">
      <alignment vertical="center"/>
    </xf>
    <xf numFmtId="0" fontId="17" fillId="0" borderId="0" applyAlignment="1">
      <alignment vertical="center"/>
    </xf>
    <xf numFmtId="9" fontId="0" fillId="0" borderId="0" applyAlignment="1">
      <alignment vertical="center"/>
    </xf>
    <xf numFmtId="0" fontId="7" fillId="0" borderId="0" applyAlignment="1">
      <alignment vertical="center"/>
    </xf>
    <xf numFmtId="0" fontId="0" fillId="14" borderId="9" applyAlignment="1">
      <alignment vertical="center"/>
    </xf>
    <xf numFmtId="0" fontId="16" fillId="15" borderId="0" applyAlignment="1">
      <alignment vertical="center"/>
    </xf>
    <xf numFmtId="0" fontId="18" fillId="0" borderId="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10" applyAlignment="1">
      <alignment vertical="center"/>
    </xf>
    <xf numFmtId="0" fontId="23" fillId="0" borderId="10" applyAlignment="1">
      <alignment vertical="center"/>
    </xf>
    <xf numFmtId="0" fontId="16" fillId="16" borderId="0" applyAlignment="1">
      <alignment vertical="center"/>
    </xf>
    <xf numFmtId="0" fontId="18" fillId="0" borderId="11" applyAlignment="1">
      <alignment vertical="center"/>
    </xf>
    <xf numFmtId="0" fontId="16" fillId="17" borderId="0" applyAlignment="1">
      <alignment vertical="center"/>
    </xf>
    <xf numFmtId="0" fontId="24" fillId="18" borderId="12" applyAlignment="1">
      <alignment vertical="center"/>
    </xf>
    <xf numFmtId="0" fontId="25" fillId="18" borderId="8" applyAlignment="1">
      <alignment vertical="center"/>
    </xf>
    <xf numFmtId="0" fontId="26" fillId="19" borderId="13" applyAlignment="1">
      <alignment vertical="center"/>
    </xf>
    <xf numFmtId="0" fontId="13" fillId="20" borderId="0" applyAlignment="1">
      <alignment vertical="center"/>
    </xf>
    <xf numFmtId="0" fontId="16" fillId="21" borderId="0" applyAlignment="1">
      <alignment vertical="center"/>
    </xf>
    <xf numFmtId="0" fontId="27" fillId="0" borderId="14" applyAlignment="1">
      <alignment vertical="center"/>
    </xf>
    <xf numFmtId="0" fontId="28" fillId="0" borderId="15" applyAlignment="1">
      <alignment vertical="center"/>
    </xf>
    <xf numFmtId="0" fontId="29" fillId="22" borderId="0" applyAlignment="1">
      <alignment vertical="center"/>
    </xf>
    <xf numFmtId="0" fontId="30" fillId="23" borderId="0" applyAlignment="1">
      <alignment vertical="center"/>
    </xf>
    <xf numFmtId="0" fontId="13" fillId="24" borderId="0" applyAlignment="1">
      <alignment vertical="center"/>
    </xf>
    <xf numFmtId="0" fontId="16" fillId="25" borderId="0" applyAlignment="1">
      <alignment vertical="center"/>
    </xf>
    <xf numFmtId="0" fontId="13" fillId="26" borderId="0" applyAlignment="1">
      <alignment vertical="center"/>
    </xf>
    <xf numFmtId="0" fontId="13" fillId="27" borderId="0" applyAlignment="1">
      <alignment vertical="center"/>
    </xf>
    <xf numFmtId="0" fontId="13" fillId="28" borderId="0" applyAlignment="1">
      <alignment vertical="center"/>
    </xf>
    <xf numFmtId="0" fontId="13" fillId="29" borderId="0" applyAlignment="1">
      <alignment vertical="center"/>
    </xf>
    <xf numFmtId="0" fontId="16" fillId="30" borderId="0" applyAlignment="1">
      <alignment vertical="center"/>
    </xf>
    <xf numFmtId="0" fontId="16" fillId="31" borderId="0" applyAlignment="1">
      <alignment vertical="center"/>
    </xf>
    <xf numFmtId="0" fontId="13" fillId="32" borderId="0" applyAlignment="1">
      <alignment vertical="center"/>
    </xf>
    <xf numFmtId="0" fontId="13" fillId="33" borderId="0" applyAlignment="1">
      <alignment vertical="center"/>
    </xf>
    <xf numFmtId="0" fontId="16" fillId="34" borderId="0" applyAlignment="1">
      <alignment vertical="center"/>
    </xf>
    <xf numFmtId="0" fontId="13" fillId="35" borderId="0" applyAlignment="1">
      <alignment vertical="center"/>
    </xf>
    <xf numFmtId="0" fontId="16" fillId="36" borderId="0" applyAlignment="1">
      <alignment vertical="center"/>
    </xf>
    <xf numFmtId="0" fontId="16" fillId="37" borderId="0" applyAlignment="1">
      <alignment vertical="center"/>
    </xf>
    <xf numFmtId="0" fontId="13" fillId="38" borderId="0" applyAlignment="1">
      <alignment vertical="center"/>
    </xf>
    <xf numFmtId="0" fontId="16" fillId="39" borderId="0" applyAlignment="1">
      <alignment vertical="center"/>
    </xf>
  </cellStyleXfs>
  <cellXfs count="145">
    <xf numFmtId="0" fontId="0" fillId="0" borderId="0" applyAlignment="1" pivotButton="0" quotePrefix="0" xfId="0">
      <alignment vertical="center"/>
    </xf>
    <xf numFmtId="164"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right" vertical="center"/>
      <protection locked="1" hidden="1"/>
    </xf>
    <xf numFmtId="0" fontId="1" fillId="0" borderId="0" applyAlignment="1" applyProtection="1" pivotButton="0" quotePrefix="0" xfId="0">
      <alignment vertical="center"/>
      <protection locked="1" hidden="1"/>
    </xf>
    <xf numFmtId="0" fontId="2" fillId="2" borderId="0" applyAlignment="1" applyProtection="1" pivotButton="0" quotePrefix="0" xfId="0">
      <alignment horizontal="right" vertical="center" wrapText="1"/>
      <protection locked="1" hidden="1"/>
    </xf>
    <xf numFmtId="164" fontId="1" fillId="0" borderId="0" applyAlignment="1" applyProtection="1" pivotButton="0" quotePrefix="0" xfId="0">
      <alignment horizontal="right" vertical="center"/>
      <protection locked="1" hidden="1"/>
    </xf>
    <xf numFmtId="14"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right" vertical="center"/>
      <protection locked="1" hidden="1"/>
    </xf>
    <xf numFmtId="0" fontId="2" fillId="0" borderId="0" applyAlignment="1" applyProtection="1" pivotButton="0" quotePrefix="0" xfId="0">
      <alignment horizontal="center" vertical="center"/>
      <protection locked="1" hidden="1"/>
    </xf>
    <xf numFmtId="0" fontId="1" fillId="0" borderId="0" applyAlignment="1" applyProtection="1" pivotButton="0" quotePrefix="0" xfId="0">
      <alignment vertical="center"/>
      <protection locked="1" hidden="1"/>
    </xf>
    <xf numFmtId="0" fontId="1" fillId="0" borderId="0" applyAlignment="1" applyProtection="1" pivotButton="0" quotePrefix="0" xfId="0">
      <alignment horizontal="left" vertical="center"/>
      <protection locked="1" hidden="1"/>
    </xf>
    <xf numFmtId="49"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left" vertical="center"/>
      <protection locked="1" hidden="1"/>
    </xf>
    <xf numFmtId="165" fontId="1" fillId="0" borderId="0" applyAlignment="1" applyProtection="1" pivotButton="0" quotePrefix="0" xfId="0">
      <alignment horizontal="right" vertical="center"/>
      <protection locked="1" hidden="1"/>
    </xf>
    <xf numFmtId="166" fontId="1" fillId="0" borderId="0" applyAlignment="1" applyProtection="1" pivotButton="0" quotePrefix="0" xfId="0">
      <alignment horizontal="right" vertical="center"/>
      <protection locked="1" hidden="1"/>
    </xf>
    <xf numFmtId="0" fontId="1" fillId="0" borderId="0" applyAlignment="1" pivotButton="0" quotePrefix="0" xfId="0">
      <alignment horizontal="left" vertical="center"/>
    </xf>
    <xf numFmtId="0" fontId="1" fillId="0" borderId="0" applyAlignment="1" pivotButton="0" quotePrefix="0" xfId="0">
      <alignment horizontal="right" vertical="center"/>
    </xf>
    <xf numFmtId="0" fontId="2" fillId="2" borderId="1" applyAlignment="1" applyProtection="1" pivotButton="0" quotePrefix="0" xfId="0">
      <alignment horizontal="left" vertical="center" wrapText="1"/>
      <protection locked="1" hidden="1"/>
    </xf>
    <xf numFmtId="0" fontId="2" fillId="3" borderId="2" applyAlignment="1" applyProtection="1" pivotButton="0" quotePrefix="0" xfId="0">
      <alignment horizontal="center" vertical="center" wrapText="1"/>
      <protection locked="1" hidden="1"/>
    </xf>
    <xf numFmtId="0" fontId="2" fillId="3" borderId="1" applyAlignment="1" applyProtection="1" pivotButton="0" quotePrefix="0" xfId="0">
      <alignment horizontal="right" vertical="center"/>
      <protection locked="1" hidden="1"/>
    </xf>
    <xf numFmtId="49" fontId="2" fillId="3" borderId="1" applyAlignment="1" applyProtection="1" pivotButton="0" quotePrefix="0" xfId="0">
      <alignment horizontal="right" vertical="center"/>
      <protection locked="1" hidden="1"/>
    </xf>
    <xf numFmtId="0" fontId="2" fillId="3" borderId="1" applyAlignment="1" applyProtection="1" pivotButton="0" quotePrefix="0" xfId="0">
      <alignment horizontal="center" vertical="center"/>
      <protection locked="1" hidden="1"/>
    </xf>
    <xf numFmtId="0" fontId="2" fillId="2" borderId="0" applyAlignment="1" applyProtection="1" pivotButton="0" quotePrefix="0" xfId="0">
      <alignment horizontal="left" vertical="center" wrapText="1"/>
      <protection locked="1" hidden="1"/>
    </xf>
    <xf numFmtId="0" fontId="3" fillId="3" borderId="3" applyAlignment="1" applyProtection="1" pivotButton="0" quotePrefix="0" xfId="0">
      <alignment horizontal="left" vertical="center" wrapText="1"/>
      <protection locked="1" hidden="1"/>
    </xf>
    <xf numFmtId="0" fontId="3" fillId="3" borderId="0" applyAlignment="1" applyProtection="1" pivotButton="0" quotePrefix="0" xfId="0">
      <alignment horizontal="right" vertical="center" wrapText="1"/>
      <protection locked="1" hidden="1"/>
    </xf>
    <xf numFmtId="49" fontId="2" fillId="3" borderId="0" applyAlignment="1" applyProtection="1" pivotButton="0" quotePrefix="0" xfId="0">
      <alignment horizontal="right" vertical="center" wrapText="1"/>
      <protection locked="1" hidden="1"/>
    </xf>
    <xf numFmtId="0" fontId="2" fillId="3" borderId="0" applyAlignment="1" applyProtection="1" pivotButton="0" quotePrefix="0" xfId="0">
      <alignment horizontal="left" vertical="center" wrapText="1"/>
      <protection locked="1" hidden="1"/>
    </xf>
    <xf numFmtId="0" fontId="3" fillId="3" borderId="0" applyAlignment="1" applyProtection="1" pivotButton="0" quotePrefix="0" xfId="0">
      <alignment horizontal="left" vertical="center" wrapText="1"/>
      <protection locked="1" hidden="1"/>
    </xf>
    <xf numFmtId="0"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center" vertical="center"/>
      <protection locked="1" hidden="1"/>
    </xf>
    <xf numFmtId="0" fontId="2" fillId="3" borderId="4" applyAlignment="1" applyProtection="1" pivotButton="0" quotePrefix="0" xfId="0">
      <alignment horizontal="center" vertical="center"/>
      <protection locked="1" hidden="1"/>
    </xf>
    <xf numFmtId="0" fontId="2" fillId="4" borderId="2" applyAlignment="1" applyProtection="1" pivotButton="0" quotePrefix="0" xfId="0">
      <alignment horizontal="center" vertical="center" wrapText="1"/>
      <protection locked="1" hidden="1"/>
    </xf>
    <xf numFmtId="0" fontId="2" fillId="4" borderId="1" applyAlignment="1" applyProtection="1" pivotButton="0" quotePrefix="0" xfId="0">
      <alignment horizontal="right" vertical="center"/>
      <protection locked="1" hidden="1"/>
    </xf>
    <xf numFmtId="49" fontId="2" fillId="4" borderId="1" applyAlignment="1" applyProtection="1" pivotButton="0" quotePrefix="0" xfId="0">
      <alignment horizontal="right" vertical="center"/>
      <protection locked="1" hidden="1"/>
    </xf>
    <xf numFmtId="0" fontId="2" fillId="4" borderId="1" applyAlignment="1" applyProtection="1" pivotButton="0" quotePrefix="0" xfId="0">
      <alignment horizontal="left" vertical="center"/>
      <protection locked="1" hidden="1"/>
    </xf>
    <xf numFmtId="0" fontId="2" fillId="4" borderId="1" applyAlignment="1" applyProtection="1" pivotButton="0" quotePrefix="0" xfId="0">
      <alignment horizontal="left" vertical="center"/>
      <protection locked="1" hidden="1"/>
    </xf>
    <xf numFmtId="0" fontId="3" fillId="3" borderId="5" applyAlignment="1" applyProtection="1" pivotButton="0" quotePrefix="0" xfId="0">
      <alignment horizontal="left" vertical="center" wrapText="1"/>
      <protection locked="1" hidden="1"/>
    </xf>
    <xf numFmtId="0" fontId="3" fillId="4" borderId="3" applyAlignment="1" applyProtection="1" pivotButton="0" quotePrefix="0" xfId="0">
      <alignment horizontal="left" vertical="center" wrapText="1"/>
      <protection locked="1" hidden="1"/>
    </xf>
    <xf numFmtId="0" fontId="3" fillId="4" borderId="0" applyAlignment="1" applyProtection="1" pivotButton="0" quotePrefix="0" xfId="0">
      <alignment horizontal="right" vertical="center" wrapText="1"/>
      <protection locked="1" hidden="1"/>
    </xf>
    <xf numFmtId="49" fontId="2" fillId="4" borderId="0" applyAlignment="1" applyProtection="1" pivotButton="0" quotePrefix="0" xfId="0">
      <alignment horizontal="right" vertical="center" wrapText="1"/>
      <protection locked="1" hidden="1"/>
    </xf>
    <xf numFmtId="0" fontId="2" fillId="4" borderId="0" applyAlignment="1" applyProtection="1" pivotButton="0" quotePrefix="0" xfId="0">
      <alignment horizontal="left" vertical="center" wrapText="1"/>
      <protection locked="1" hidden="1"/>
    </xf>
    <xf numFmtId="0" fontId="2" fillId="4" borderId="0" applyAlignment="1" applyProtection="1" pivotButton="0" quotePrefix="0" xfId="0">
      <alignment horizontal="left" vertical="center" wrapText="1"/>
      <protection locked="1" hidden="1"/>
    </xf>
    <xf numFmtId="167" fontId="1" fillId="0" borderId="0" applyAlignment="1" applyProtection="1" pivotButton="0" quotePrefix="0" xfId="0">
      <alignment horizontal="left" vertical="center"/>
      <protection locked="1" hidden="1"/>
    </xf>
    <xf numFmtId="0" fontId="2" fillId="4" borderId="1" applyAlignment="1" applyProtection="1" pivotButton="0" quotePrefix="0" xfId="0">
      <alignment horizontal="center" vertical="center"/>
      <protection locked="1" hidden="1"/>
    </xf>
    <xf numFmtId="0" fontId="2" fillId="4" borderId="4" applyAlignment="1" applyProtection="1" pivotButton="0" quotePrefix="0" xfId="0">
      <alignment horizontal="right" vertical="center"/>
      <protection locked="1" hidden="1"/>
    </xf>
    <xf numFmtId="0" fontId="2" fillId="5" borderId="2" applyAlignment="1" applyProtection="1" pivotButton="0" quotePrefix="0" xfId="0">
      <alignment horizontal="center" vertical="center" wrapText="1"/>
      <protection locked="1" hidden="1"/>
    </xf>
    <xf numFmtId="0" fontId="2" fillId="5" borderId="1" applyAlignment="1" applyProtection="1" pivotButton="0" quotePrefix="0" xfId="0">
      <alignment horizontal="right" vertical="center"/>
      <protection locked="1" hidden="1"/>
    </xf>
    <xf numFmtId="0" fontId="2" fillId="4" borderId="5" applyAlignment="1" applyProtection="1" pivotButton="0" quotePrefix="0" xfId="0">
      <alignment horizontal="right" vertical="center" wrapText="1"/>
      <protection locked="1" hidden="1"/>
    </xf>
    <xf numFmtId="0" fontId="3" fillId="5" borderId="3" applyAlignment="1" applyProtection="1" pivotButton="0" quotePrefix="0" xfId="0">
      <alignment horizontal="left" vertical="center" wrapText="1"/>
      <protection locked="1" hidden="1"/>
    </xf>
    <xf numFmtId="0" fontId="3" fillId="5" borderId="0" applyAlignment="1" applyProtection="1" pivotButton="0" quotePrefix="0" xfId="0">
      <alignment horizontal="right" vertical="center" wrapText="1"/>
      <protection locked="1" hidden="1"/>
    </xf>
    <xf numFmtId="0" fontId="1" fillId="0" borderId="0" applyAlignment="1" applyProtection="1" pivotButton="0" quotePrefix="0" xfId="0">
      <alignment vertical="center" wrapText="1"/>
      <protection locked="1" hidden="1"/>
    </xf>
    <xf numFmtId="0" fontId="0" fillId="0" borderId="0" applyAlignment="1" applyProtection="1" pivotButton="0" quotePrefix="0" xfId="0">
      <alignment vertical="center"/>
      <protection locked="1" hidden="1"/>
    </xf>
    <xf numFmtId="0" fontId="2" fillId="5" borderId="1" applyAlignment="1" applyProtection="1" pivotButton="0" quotePrefix="0" xfId="0">
      <alignment horizontal="center" vertical="center"/>
      <protection locked="1" hidden="1"/>
    </xf>
    <xf numFmtId="0" fontId="2" fillId="5" borderId="4" applyAlignment="1" applyProtection="1" pivotButton="0" quotePrefix="0" xfId="0">
      <alignment horizontal="center" vertical="center"/>
      <protection locked="1" hidden="1"/>
    </xf>
    <xf numFmtId="0" fontId="2" fillId="5" borderId="1" applyAlignment="1" applyProtection="1" pivotButton="0" quotePrefix="0" xfId="0">
      <alignment horizontal="center" vertical="center" wrapText="1"/>
      <protection locked="1" hidden="1"/>
    </xf>
    <xf numFmtId="0" fontId="2" fillId="5" borderId="1" applyAlignment="1" applyProtection="1" pivotButton="0" quotePrefix="0" xfId="0">
      <alignment horizontal="left" vertical="center" wrapText="1"/>
      <protection locked="1" hidden="1"/>
    </xf>
    <xf numFmtId="0" fontId="2" fillId="5" borderId="0" applyAlignment="1" applyProtection="1" pivotButton="0" quotePrefix="0" xfId="0">
      <alignment horizontal="right" vertical="center" wrapText="1"/>
      <protection locked="1" hidden="1"/>
    </xf>
    <xf numFmtId="0" fontId="2" fillId="5" borderId="0" applyAlignment="1" applyProtection="1" pivotButton="0" quotePrefix="0" xfId="0">
      <alignment horizontal="left" vertical="center" wrapText="1"/>
      <protection locked="1" hidden="1"/>
    </xf>
    <xf numFmtId="0" fontId="2" fillId="5" borderId="5" applyAlignment="1" applyProtection="1" pivotButton="0" quotePrefix="0" xfId="0">
      <alignment horizontal="left" vertical="center" wrapText="1"/>
      <protection locked="1" hidden="1"/>
    </xf>
    <xf numFmtId="0" fontId="3" fillId="5" borderId="3" applyAlignment="1" applyProtection="1" pivotButton="0" quotePrefix="0" xfId="0">
      <alignment horizontal="right" vertical="center" wrapText="1"/>
      <protection locked="1" hidden="1"/>
    </xf>
    <xf numFmtId="0" fontId="4" fillId="5" borderId="5" applyAlignment="1" applyProtection="1" pivotButton="0" quotePrefix="0" xfId="0">
      <alignment horizontal="left" vertical="center" wrapText="1"/>
      <protection locked="1" hidden="1"/>
    </xf>
    <xf numFmtId="0" fontId="2" fillId="6" borderId="6" applyAlignment="1" applyProtection="1" pivotButton="0" quotePrefix="0" xfId="0">
      <alignment horizontal="center" vertical="center" wrapText="1"/>
      <protection locked="1" hidden="1"/>
    </xf>
    <xf numFmtId="0" fontId="2" fillId="6" borderId="2" applyAlignment="1" applyProtection="1" pivotButton="0" quotePrefix="0" xfId="0">
      <alignment horizontal="center" vertical="center" wrapText="1"/>
      <protection locked="1" hidden="1"/>
    </xf>
    <xf numFmtId="0" fontId="2" fillId="6" borderId="1" applyAlignment="1" applyProtection="1" pivotButton="0" quotePrefix="0" xfId="0">
      <alignment horizontal="center" vertical="center"/>
      <protection locked="1" hidden="1"/>
    </xf>
    <xf numFmtId="0" fontId="2" fillId="6" borderId="4" applyAlignment="1" applyProtection="1" pivotButton="0" quotePrefix="0" xfId="0">
      <alignment horizontal="right" vertical="center"/>
      <protection locked="1" hidden="1"/>
    </xf>
    <xf numFmtId="165" fontId="2" fillId="7" borderId="2" applyAlignment="1" applyProtection="1" pivotButton="0" quotePrefix="0" xfId="0">
      <alignment horizontal="center" vertical="center" wrapText="1"/>
      <protection locked="1" hidden="1"/>
    </xf>
    <xf numFmtId="166" fontId="2" fillId="7" borderId="4" applyAlignment="1" applyProtection="1" pivotButton="0" quotePrefix="0" xfId="0">
      <alignment horizontal="right" vertical="center"/>
      <protection locked="1" hidden="1"/>
    </xf>
    <xf numFmtId="0" fontId="2" fillId="7" borderId="1" applyAlignment="1" applyProtection="1" pivotButton="0" quotePrefix="0" xfId="0">
      <alignment horizontal="center" vertical="center"/>
      <protection locked="1" hidden="1"/>
    </xf>
    <xf numFmtId="0" fontId="2" fillId="8" borderId="2" applyAlignment="1" applyProtection="1" pivotButton="0" quotePrefix="0" xfId="0">
      <alignment horizontal="center" vertical="center" wrapText="1"/>
      <protection locked="1" hidden="1"/>
    </xf>
    <xf numFmtId="0" fontId="3" fillId="6" borderId="7" applyAlignment="1" applyProtection="1" pivotButton="0" quotePrefix="0" xfId="0">
      <alignment horizontal="left" vertical="center" wrapText="1"/>
      <protection locked="1" hidden="1"/>
    </xf>
    <xf numFmtId="0" fontId="3" fillId="6" borderId="3" applyAlignment="1" applyProtection="1" pivotButton="0" quotePrefix="0" xfId="0">
      <alignment horizontal="left" vertical="center" wrapText="1"/>
      <protection locked="1" hidden="1"/>
    </xf>
    <xf numFmtId="0" fontId="4" fillId="6" borderId="0" applyAlignment="1" applyProtection="1" pivotButton="0" quotePrefix="0" xfId="0">
      <alignment horizontal="left" vertical="center" wrapText="1"/>
      <protection locked="1" hidden="1"/>
    </xf>
    <xf numFmtId="0" fontId="4" fillId="6" borderId="5" applyAlignment="1" applyProtection="1" pivotButton="0" quotePrefix="0" xfId="0">
      <alignment horizontal="right" vertical="center" wrapText="1"/>
      <protection locked="1" hidden="1"/>
    </xf>
    <xf numFmtId="165" fontId="4" fillId="7" borderId="3" applyAlignment="1" applyProtection="1" pivotButton="0" quotePrefix="0" xfId="0">
      <alignment horizontal="right" vertical="center" wrapText="1"/>
      <protection locked="1" hidden="1"/>
    </xf>
    <xf numFmtId="166" fontId="4" fillId="7" borderId="5" applyAlignment="1" applyProtection="1" pivotButton="0" quotePrefix="0" xfId="0">
      <alignment horizontal="right" vertical="center" wrapText="1"/>
      <protection locked="1" hidden="1"/>
    </xf>
    <xf numFmtId="0" fontId="2" fillId="7" borderId="7" applyAlignment="1" applyProtection="1" pivotButton="0" quotePrefix="0" xfId="0">
      <alignment vertical="center" wrapText="1"/>
      <protection locked="1" hidden="1"/>
    </xf>
    <xf numFmtId="0" fontId="2" fillId="8" borderId="3" applyAlignment="1" applyProtection="1" pivotButton="0" quotePrefix="0" xfId="0">
      <alignment horizontal="right" vertical="center" wrapText="1"/>
      <protection locked="1" hidden="1"/>
    </xf>
    <xf numFmtId="0" fontId="2" fillId="8" borderId="1" applyAlignment="1" applyProtection="1" pivotButton="0" quotePrefix="0" xfId="0">
      <alignment horizontal="center" vertical="center" wrapText="1"/>
      <protection locked="1" hidden="1"/>
    </xf>
    <xf numFmtId="0" fontId="2" fillId="8" borderId="0" applyAlignment="1" applyProtection="1" pivotButton="0" quotePrefix="0" xfId="0">
      <alignment vertical="center" wrapText="1"/>
      <protection locked="1" hidden="1"/>
    </xf>
    <xf numFmtId="0" fontId="2" fillId="8" borderId="0" applyAlignment="1" applyProtection="1" pivotButton="0" quotePrefix="0" xfId="0">
      <alignment horizontal="right" vertical="center" wrapText="1"/>
      <protection locked="1" hidden="1"/>
    </xf>
    <xf numFmtId="0" fontId="2" fillId="8" borderId="0" applyAlignment="1" applyProtection="1" pivotButton="0" quotePrefix="0" xfId="0">
      <alignment horizontal="left" vertical="center" wrapText="1"/>
      <protection locked="1" hidden="1"/>
    </xf>
    <xf numFmtId="0" fontId="2" fillId="8" borderId="4" applyAlignment="1" applyProtection="1" pivotButton="0" quotePrefix="0" xfId="0">
      <alignment horizontal="center" vertical="center" wrapText="1"/>
      <protection locked="1" hidden="1"/>
    </xf>
    <xf numFmtId="0" fontId="2" fillId="7" borderId="4" applyAlignment="1" applyProtection="1" pivotButton="0" quotePrefix="0" xfId="0">
      <alignment horizontal="left" vertical="center"/>
      <protection locked="1" hidden="1"/>
    </xf>
    <xf numFmtId="0" fontId="2" fillId="8" borderId="5" applyAlignment="1" applyProtection="1" pivotButton="0" quotePrefix="0" xfId="0">
      <alignment horizontal="right" vertical="center" wrapText="1"/>
      <protection locked="1" hidden="1"/>
    </xf>
    <xf numFmtId="0" fontId="2" fillId="7" borderId="7" applyAlignment="1" applyProtection="1" pivotButton="0" quotePrefix="0" xfId="0">
      <alignment horizontal="left" vertical="center" wrapText="1"/>
      <protection locked="1" hidden="1"/>
    </xf>
    <xf numFmtId="165" fontId="1" fillId="0" borderId="0" applyAlignment="1" pivotButton="0" quotePrefix="0" xfId="0">
      <alignment horizontal="right" vertical="center"/>
    </xf>
    <xf numFmtId="20" fontId="1" fillId="0" borderId="0" applyAlignment="1" pivotButton="0" quotePrefix="0" xfId="0">
      <alignment horizontal="right" vertical="center"/>
    </xf>
    <xf numFmtId="14" fontId="1" fillId="0" borderId="0" applyAlignment="1" pivotButton="0" quotePrefix="0" xfId="0">
      <alignment horizontal="right" vertical="center"/>
    </xf>
    <xf numFmtId="0" fontId="1" fillId="0" borderId="0" applyAlignment="1" applyProtection="1" pivotButton="0" quotePrefix="0" xfId="0">
      <alignment horizontal="right" vertical="center"/>
      <protection locked="1" hidden="1"/>
    </xf>
    <xf numFmtId="0" fontId="1" fillId="0" borderId="0" applyAlignment="1" applyProtection="1" pivotButton="0" quotePrefix="0" xfId="0">
      <alignment vertical="center"/>
      <protection locked="1" hidden="1"/>
    </xf>
    <xf numFmtId="165"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left" vertical="center"/>
      <protection locked="1" hidden="1"/>
    </xf>
    <xf numFmtId="0" fontId="2" fillId="2" borderId="0" applyAlignment="1" applyProtection="1" pivotButton="0" quotePrefix="0" xfId="0">
      <alignment vertical="center" wrapText="1"/>
      <protection locked="1" hidden="1"/>
    </xf>
    <xf numFmtId="0" fontId="1" fillId="0" borderId="0" applyAlignment="1" applyProtection="1" pivotButton="0" quotePrefix="0" xfId="0">
      <alignment horizontal="right" vertical="center"/>
      <protection locked="1" hidden="1"/>
    </xf>
    <xf numFmtId="0" fontId="5" fillId="0" borderId="0" applyAlignment="1" applyProtection="1" pivotButton="0" quotePrefix="0" xfId="0">
      <alignment vertical="center"/>
      <protection locked="1" hidden="1"/>
    </xf>
    <xf numFmtId="0" fontId="6" fillId="0" borderId="0" applyAlignment="1" applyProtection="1" pivotButton="0" quotePrefix="0" xfId="0">
      <alignment vertical="center"/>
      <protection locked="1" hidden="1"/>
    </xf>
    <xf numFmtId="165" fontId="2" fillId="2" borderId="0" applyAlignment="1" applyProtection="1" pivotButton="0" quotePrefix="0" xfId="0">
      <alignment horizontal="right" vertical="center" wrapText="1"/>
      <protection locked="1" hidden="1"/>
    </xf>
    <xf numFmtId="165" fontId="2" fillId="2" borderId="0" applyAlignment="1" applyProtection="1" pivotButton="0" quotePrefix="0" xfId="0">
      <alignment horizontal="left" vertical="center" wrapText="1"/>
      <protection locked="1" hidden="1"/>
    </xf>
    <xf numFmtId="0" fontId="7" fillId="0" borderId="0" applyAlignment="1" applyProtection="1" pivotButton="0" quotePrefix="0" xfId="10">
      <alignment horizontal="left" vertical="center"/>
      <protection locked="1" hidden="1"/>
    </xf>
    <xf numFmtId="0" fontId="8" fillId="0" borderId="0" applyAlignment="1" pivotButton="0" quotePrefix="0" xfId="10">
      <alignment vertical="center"/>
    </xf>
    <xf numFmtId="0" fontId="7" fillId="0" borderId="0" applyAlignment="1" pivotButton="0" quotePrefix="0" xfId="10">
      <alignment vertical="center"/>
    </xf>
    <xf numFmtId="0" fontId="9" fillId="0" borderId="0" applyAlignment="1" pivotButton="0" quotePrefix="0" xfId="10">
      <alignment vertical="center"/>
    </xf>
    <xf numFmtId="0" fontId="10" fillId="0" borderId="0" applyAlignment="1" applyProtection="1" pivotButton="0" quotePrefix="0" xfId="0">
      <alignment vertical="center"/>
      <protection locked="1" hidden="1"/>
    </xf>
    <xf numFmtId="0" fontId="11" fillId="0" borderId="0" applyAlignment="1" applyProtection="1" pivotButton="0" quotePrefix="0" xfId="0">
      <alignment vertical="center"/>
      <protection locked="1" hidden="1"/>
    </xf>
    <xf numFmtId="0" fontId="12" fillId="0" borderId="0" applyAlignment="1" applyProtection="1" pivotButton="0" quotePrefix="0" xfId="0">
      <alignment vertical="center"/>
      <protection locked="1" hidden="1"/>
    </xf>
    <xf numFmtId="0" fontId="1" fillId="0" borderId="0" applyAlignment="1" applyProtection="1" pivotButton="0" quotePrefix="0" xfId="0">
      <alignment horizontal="left" vertical="center"/>
      <protection locked="0" hidden="0"/>
    </xf>
    <xf numFmtId="0" fontId="1" fillId="0" borderId="0" applyAlignment="1" applyProtection="1" pivotButton="0" quotePrefix="0" xfId="0">
      <alignment horizontal="right" vertical="center"/>
      <protection locked="0" hidden="0"/>
    </xf>
    <xf numFmtId="49" fontId="1" fillId="0" borderId="0" applyAlignment="1" applyProtection="1" pivotButton="0" quotePrefix="0" xfId="0">
      <alignment horizontal="right" vertical="center"/>
      <protection locked="0" hidden="0"/>
    </xf>
    <xf numFmtId="0" fontId="1" fillId="0" borderId="0" applyAlignment="1" applyProtection="1" pivotButton="0" quotePrefix="0" xfId="0">
      <alignment horizontal="left" vertical="center"/>
      <protection locked="0" hidden="0"/>
    </xf>
    <xf numFmtId="0" fontId="1" fillId="0" borderId="0" applyAlignment="1" applyProtection="1" pivotButton="0" quotePrefix="0" xfId="0">
      <alignment vertical="center"/>
      <protection locked="0" hidden="0"/>
    </xf>
    <xf numFmtId="165" fontId="1" fillId="0" borderId="0" applyAlignment="1" applyProtection="1" pivotButton="0" quotePrefix="0" xfId="0">
      <alignment horizontal="right" vertical="center"/>
      <protection locked="0" hidden="0"/>
    </xf>
    <xf numFmtId="166" fontId="1" fillId="0" borderId="0" applyAlignment="1" applyProtection="1" pivotButton="0" quotePrefix="0" xfId="0">
      <alignment horizontal="right" vertical="center"/>
      <protection locked="0" hidden="0"/>
    </xf>
    <xf numFmtId="0" fontId="1" fillId="0" borderId="0" applyAlignment="1" applyProtection="1" pivotButton="0" quotePrefix="0" xfId="0">
      <alignment horizontal="center" vertical="center"/>
      <protection locked="0" hidden="0"/>
    </xf>
    <xf numFmtId="167" fontId="1" fillId="0" borderId="0" applyAlignment="1" applyProtection="1" pivotButton="0" quotePrefix="0" xfId="0">
      <alignment horizontal="left" vertical="center"/>
      <protection locked="0" hidden="0"/>
    </xf>
    <xf numFmtId="0" fontId="1" fillId="0" borderId="0" applyAlignment="1" applyProtection="1" pivotButton="0" quotePrefix="0" xfId="0">
      <alignment vertical="center" wrapText="1"/>
      <protection locked="0" hidden="0"/>
    </xf>
    <xf numFmtId="0" fontId="1" fillId="0" borderId="0" applyAlignment="1" applyProtection="1" pivotButton="0" quotePrefix="0" xfId="0">
      <alignment vertical="center"/>
      <protection locked="0" hidden="0"/>
    </xf>
    <xf numFmtId="0" fontId="2" fillId="7" borderId="4" applyAlignment="1" applyProtection="1" pivotButton="0" quotePrefix="0" xfId="0">
      <alignment horizontal="center" vertical="center"/>
      <protection locked="1" hidden="1"/>
    </xf>
    <xf numFmtId="0" fontId="2" fillId="8" borderId="1" applyAlignment="1" applyProtection="1" pivotButton="0" quotePrefix="0" xfId="0">
      <alignment horizontal="left" vertical="center" wrapText="1"/>
      <protection locked="1" hidden="1"/>
    </xf>
    <xf numFmtId="0" fontId="2" fillId="8" borderId="1" applyAlignment="1" applyProtection="1" pivotButton="0" quotePrefix="0" xfId="0">
      <alignment horizontal="right" vertical="center" wrapText="1"/>
      <protection locked="1" hidden="1"/>
    </xf>
    <xf numFmtId="0" fontId="2" fillId="8" borderId="4" applyAlignment="1" applyProtection="1" pivotButton="0" quotePrefix="0" xfId="0">
      <alignment horizontal="right" vertical="center" wrapText="1"/>
      <protection locked="1" hidden="1"/>
    </xf>
    <xf numFmtId="20" fontId="1" fillId="0" borderId="0" applyAlignment="1" applyProtection="1" pivotButton="0" quotePrefix="0" xfId="0">
      <alignment horizontal="right" vertical="center"/>
      <protection locked="0" hidden="0"/>
    </xf>
    <xf numFmtId="14" fontId="1" fillId="0" borderId="0" applyAlignment="1" applyProtection="1" pivotButton="0" quotePrefix="0" xfId="0">
      <alignment horizontal="right" vertical="center"/>
      <protection locked="0" hidden="0"/>
    </xf>
    <xf numFmtId="49" fontId="1" fillId="0" borderId="0" applyAlignment="1" applyProtection="1" pivotButton="0" quotePrefix="1" xfId="0">
      <alignment horizontal="right" vertical="center"/>
      <protection locked="1" hidden="1"/>
    </xf>
    <xf numFmtId="164" fontId="1" fillId="0" borderId="0" applyAlignment="1" applyProtection="1" pivotButton="0" quotePrefix="1" xfId="0">
      <alignment horizontal="right" vertical="center"/>
      <protection locked="1" hidden="1"/>
    </xf>
    <xf numFmtId="165" fontId="1" fillId="0" borderId="0" applyAlignment="1" applyProtection="1" pivotButton="0" quotePrefix="0" xfId="0">
      <alignment horizontal="right" vertical="center"/>
      <protection locked="0" hidden="0"/>
    </xf>
    <xf numFmtId="166" fontId="1" fillId="0" borderId="0" applyAlignment="1" applyProtection="1" pivotButton="0" quotePrefix="0" xfId="0">
      <alignment horizontal="right" vertical="center"/>
      <protection locked="0" hidden="0"/>
    </xf>
    <xf numFmtId="0" fontId="2" fillId="3" borderId="6" applyAlignment="1" applyProtection="1" pivotButton="0" quotePrefix="0" xfId="0">
      <alignment horizontal="center" vertical="center" wrapText="1"/>
      <protection locked="1" hidden="1"/>
    </xf>
    <xf numFmtId="0" fontId="0" fillId="0" borderId="1" applyProtection="1" pivotButton="0" quotePrefix="0" xfId="0">
      <protection locked="1" hidden="1"/>
    </xf>
    <xf numFmtId="0" fontId="0" fillId="0" borderId="4" applyProtection="1" pivotButton="0" quotePrefix="0" xfId="0">
      <protection locked="1" hidden="1"/>
    </xf>
    <xf numFmtId="0" fontId="2" fillId="4" borderId="6" applyAlignment="1" applyProtection="1" pivotButton="0" quotePrefix="0" xfId="0">
      <alignment horizontal="center" vertical="center" wrapText="1"/>
      <protection locked="1" hidden="1"/>
    </xf>
    <xf numFmtId="0" fontId="2" fillId="5" borderId="6" applyAlignment="1" applyProtection="1" pivotButton="0" quotePrefix="0" xfId="0">
      <alignment horizontal="center" vertical="center" wrapText="1"/>
      <protection locked="1" hidden="1"/>
    </xf>
    <xf numFmtId="165" fontId="2" fillId="7" borderId="6" applyAlignment="1" applyProtection="1" pivotButton="0" quotePrefix="0" xfId="0">
      <alignment horizontal="center" vertical="center" wrapText="1"/>
      <protection locked="1" hidden="1"/>
    </xf>
    <xf numFmtId="0" fontId="2" fillId="8" borderId="6" applyAlignment="1" applyProtection="1" pivotButton="0" quotePrefix="0" xfId="0">
      <alignment horizontal="center" vertical="center" wrapText="1"/>
      <protection locked="1" hidden="1"/>
    </xf>
    <xf numFmtId="165" fontId="4" fillId="7" borderId="3" applyAlignment="1" applyProtection="1" pivotButton="0" quotePrefix="0" xfId="0">
      <alignment horizontal="right" vertical="center" wrapText="1"/>
      <protection locked="1" hidden="1"/>
    </xf>
    <xf numFmtId="166" fontId="4" fillId="7" borderId="5" applyAlignment="1" applyProtection="1" pivotButton="0" quotePrefix="0" xfId="0">
      <alignment horizontal="right" vertical="center" wrapText="1"/>
      <protection locked="1" hidden="1"/>
    </xf>
    <xf numFmtId="167" fontId="1" fillId="0" borderId="0" applyAlignment="1" applyProtection="1" pivotButton="0" quotePrefix="0" xfId="0">
      <alignment horizontal="left" vertical="center"/>
      <protection locked="0" hidden="0"/>
    </xf>
    <xf numFmtId="165" fontId="1" fillId="0" borderId="0" applyAlignment="1" applyProtection="1" pivotButton="0" quotePrefix="0" xfId="0">
      <alignment horizontal="right" vertical="center"/>
      <protection locked="1" hidden="1"/>
    </xf>
    <xf numFmtId="165" fontId="2" fillId="2" borderId="0" applyAlignment="1" applyProtection="1" pivotButton="0" quotePrefix="0" xfId="0">
      <alignment horizontal="right" vertical="center" wrapText="1"/>
      <protection locked="1" hidden="1"/>
    </xf>
    <xf numFmtId="165" fontId="2" fillId="2" borderId="0" applyAlignment="1" applyProtection="1" pivotButton="0" quotePrefix="0" xfId="0">
      <alignment horizontal="left" vertical="center" wrapText="1"/>
      <protection locked="1" hidden="1"/>
    </xf>
    <xf numFmtId="166" fontId="1" fillId="0" borderId="0" applyAlignment="1" applyProtection="1" pivotButton="0" quotePrefix="0" xfId="0">
      <alignment horizontal="right" vertical="center"/>
      <protection locked="1" hidden="1"/>
    </xf>
    <xf numFmtId="167" fontId="1" fillId="0" borderId="0" applyAlignment="1" applyProtection="1" pivotButton="0" quotePrefix="0" xfId="0">
      <alignment horizontal="left" vertical="center"/>
      <protection locked="1" hidden="1"/>
    </xf>
    <xf numFmtId="165" fontId="1" fillId="0" borderId="0" applyAlignment="1" pivotButton="0" quotePrefix="0" xfId="0">
      <alignment horizontal="right" vertical="center"/>
    </xf>
    <xf numFmtId="164" fontId="1" fillId="0" borderId="0" applyAlignment="1" applyProtection="1" pivotButton="0" quotePrefix="0" xfId="0">
      <alignment horizontal="right" vertical="center"/>
      <protection locked="1" hidden="1"/>
    </xf>
    <xf numFmtId="0" fontId="0" fillId="0" borderId="0" pivotButton="0" quotePrefix="0" xfId="0"/>
    <xf numFmtId="164" fontId="1" fillId="0" borderId="0" applyAlignment="1" applyProtection="1" pivotButton="0" quotePrefix="1" xfId="0">
      <alignment horizontal="right" vertical="center"/>
      <protection locked="1" hidden="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5">
    <dxf>
      <font>
        <color rgb="FFC00000"/>
      </font>
      <numFmt numFmtId="180" formatCode="@&quot; (只需填寫托寄物訊息)&quot;"/>
      <fill>
        <patternFill patternType="solid">
          <bgColor rgb="FFFFFFFF"/>
        </patternFill>
      </fill>
    </dxf>
    <dxf>
      <fill>
        <patternFill patternType="solid">
          <bgColor theme="0" tint="-0.15"/>
        </patternFill>
      </fill>
    </dxf>
    <dxf>
      <font>
        <b val="1"/>
        <color rgb="FFFF0000"/>
      </font>
      <fill>
        <patternFill patternType="solid">
          <bgColor rgb="FFFFCCCC"/>
        </patternFill>
      </fill>
    </dxf>
    <dxf>
      <numFmt numFmtId="0" formatCode="General"/>
      <fill>
        <patternFill patternType="solid">
          <bgColor theme="0" tint="-0.15"/>
        </patternFill>
      </fill>
    </dxf>
    <dxf>
      <font>
        <b val="1"/>
        <color rgb="FFFF0000"/>
      </font>
      <numFmt numFmtId="177" formatCode="yyyy\-mm\-dd"/>
      <fill>
        <patternFill patternType="solid">
          <bgColor rgb="FFFFCCCC"/>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Administrator</author>
  </authors>
  <commentList>
    <comment ref="W1" authorId="0" shapeId="0">
      <text>
        <t>如同一訂單有多於一個托寄物，需另開一行並輸入相同的客戶訂單編號，然後補充托寄物訊息，其他訊息不用填寫。
If there are more than one consignments in a single order, user needs to start a new row with same customer order number, then supplement the consignment information only.</t>
      </text>
    </comment>
    <comment ref="A2" authorId="0" shapeId="0">
      <text>
        <t>1. 非必填，max=30
2. 請勿填寫此前已填寫過的客戶訂單編號。
1. Optional, max=30
2. Please do not fill in an Customer Order I.D. that has already been used before.</t>
      </text>
    </comment>
    <comment ref="B2" authorId="0" shapeId="0">
      <text>
        <t>必填，max=30
Required, max=30</t>
      </text>
    </comment>
    <comment ref="D2" authorId="0" shapeId="0">
      <text>
        <t>手機號碼和固網電話必須填寫一個。
Must fill in either a mobile number or a fixed number.</t>
      </text>
    </comment>
    <comment ref="E2" authorId="0" shapeId="0">
      <text>
        <t>手機號碼和固網電話必須填寫一個。
 Must fill in either a mobile number or a fixed number.</t>
      </text>
    </comment>
    <comment ref="F2" authorId="0" shapeId="0">
      <text>
        <t>非必填，max=100
Optional, max=100</t>
      </text>
    </comment>
    <comment ref="J2" authorId="0" shapeId="0">
      <text>
        <t>必填，max=150
Required, max=150</t>
      </text>
    </comment>
    <comment ref="K2" authorId="0" shapeId="0">
      <text>
        <t>必填，max=30
Required, max=30</t>
      </text>
    </comment>
    <comment ref="M2" authorId="0" shapeId="0">
      <text>
        <t>手機號碼和固網電話必須填寫一個。
Must fill in either a mobile number or a fixed number.</t>
      </text>
    </comment>
    <comment ref="N2" authorId="0" shapeId="0">
      <text>
        <t>手機號碼和固網電話必須填寫一個。
Must fill in either a mobile number or a fixed number.</t>
      </text>
    </comment>
    <comment ref="O2" authorId="0" shapeId="0">
      <text>
        <t>非必填，max=100
Optional, max=100</t>
      </text>
    </comment>
    <comment ref="P2" authorId="0" shapeId="0">
      <text>
        <t>1. 自取點編號和具體地址必須填寫一個。
2. 如果郵寄到自取點，可以直接填寫自取點編號（一定要準確），而不用填寫收件方的具體地址。
1. Must fill in either a self Pick-up point or a detail address.
2. If parcel is sent to the SF Network Point, you can directly fill in the point code (must be accurate) instead of filling in the specific address.</t>
      </text>
    </comment>
    <comment ref="Q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R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S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T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5. max=150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
5. max=150</t>
      </text>
    </comment>
    <comment ref="U2" authorId="0" shapeId="0">
      <text>
        <t>建議填寫「證件類型」以保障快件時效。
Suggest filling in the I.D. Type to secure the transit time.</t>
      </text>
    </comment>
    <comment ref="V2" authorId="0" shapeId="0">
      <text>
        <t>1. 建議填寫「證件編號」以保障快件時效。
2. max=30
1. Suggest filling in the I.D. No. to secure the transit time.
2. max=30</t>
      </text>
    </comment>
    <comment ref="W2" authorId="0" shapeId="0">
      <text>
        <t>1. 必填，max=30
2. 分為檔案和物品，如果您郵寄的是物品，需要填寫具體的物品名稱，例如衣服，食物等。
1. Required, max=30
2. Consignment：Either documents or items. If you are sending items, specific item names must be filled in, such as clothes, food, etc.</t>
      </text>
    </comment>
    <comment ref="X2" authorId="0" shapeId="0">
      <text>
        <t>必填，數值範圍：0.01 - 9999.99
Required, value range: 0.01 - 9999.99</t>
      </text>
    </comment>
    <comment ref="Y2" authorId="0" shapeId="0">
      <text>
        <t>1. 非香港本地收件必須。
2. 數值範圍：0.01 - 99999.99
1. Must fill in for non-domestic shipments.
2. Value range: 0.01 - 99999.99</t>
      </text>
    </comment>
    <comment ref="Z2" authorId="0" shapeId="0">
      <text>
        <t>非香港本地收件必須。
Must fill in for non-domestic shipments.</t>
      </text>
    </comment>
    <comment ref="AA2" authorId="0" shapeId="0">
      <text>
        <t>1. 非香港本地收件必須。
2. 數值範圍：0 - 1000000
1. Must fill in for non-domestic shipments.
2. Value range: 0 - 1000000</t>
      </text>
    </comment>
    <comment ref="AB2" authorId="0" shapeId="0">
      <text>
        <t>非香港本地收件必須。
Must fill in for non-domestic shipments.</t>
      </text>
    </comment>
    <comment ref="AC2" authorId="0" shapeId="0">
      <text>
        <t>非香港本地收件必須。
Must fill in for non-domestic shipments.</t>
      </text>
    </comment>
    <comment ref="AD2" authorId="0" shapeId="0">
      <text>
        <t>必填，數值範圍：0.01 -  9999.99
Required, value range: 0.01 -  9999.99</t>
      </text>
    </comment>
    <comment ref="AE2" authorId="0" shapeId="0">
      <text>
        <t>1. 必填，數值範圍：1 - 50
2. 如果一張訂單只包含一個包裹，於「包裹數量（子母件數量）」填“1”。若包裹數量超過1件，即寄遞子母件。例如，同一張訂單包含三個包裹，於「包裹數量（子母件數量）」填“3”，其後會打印出三張運單，讓您的三個包裹都可以分別貼上一張運單。
1. Required, value range: 1 - 50
2. If a shipment only contains one piece of parcel, fill in "1" in "Parcel Quantity (num. of multi-piece shipments)". If a shipment consists of more than one piece of parcel, it will be sent as a multi-piece shipments. For example, fill in "3" in the " Parcel Quantity (num. of multi-piece shipments)" when three parcels are required to be sent. Three waybills will be printed so that each of your three packages can be affixed with one waybill.</t>
      </text>
    </comment>
    <comment ref="AF2" authorId="0" shapeId="0">
      <text>
        <t>1. 如果一張訂單有多個子母件，而每個子母件都需要單獨的包裹備註，請於此欄目填寫每個子母件的包裹備註。
2. 非必填，每個包裹備註 max=50
* 舉例：訂單的「包裹數量（子母件數量）」為 「4」
「包裹備註」正確填寫應為 「主單備註：xxxxxxxx+次單1備註：xxxxxxxx+次單2備註：xxxxxxxx+次單3備註：xxxxxxxx」
1. If an order has multi-piece shipments and each requires separate parcel notes, please fill in the parcel notes for each multi-piece shipment in this field.
2. Optional,max=50 perparcel note.
* Example: If the order's “Parcel Quantity (num. of multi-piece shipments)" is "4", the correct way to fill in "Parcel Notes" would be:
"Main Parcel Note: xxxxxxxx + Sub-Parcel 1 Note: xxxxxxxx + Sub-Parcel 2 Note: xxxxxxxx + Sub-Parcel 3 Note: xxxxxxxx"</t>
      </text>
    </comment>
    <comment ref="AI2" authorId="0" shapeId="0">
      <text>
        <t xml:space="preserve">如果是非香港或澳門本地件，需選擇稅金付款方式。寄付月結只適用於已開通進口稅金費用代墊服務的客戶，並需於「稅金付款帳號」填寫已開題此服務的月結號；如未開題此服務請選擇到付。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J2" authorId="0" shapeId="0">
      <text>
        <t xml:space="preserve">如果是非香港或澳門本地件，需選擇稅金付款方式。寄付月結只適用於已開通進口稅金費用代墊服務的客戶，並需於「稅金付款帳號」填寫已開通此服務的月結號；如未開通此服務請選擇到付。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K2" authorId="0" shapeId="0">
      <text>
        <t>填寫當前至未來3日內的日期。
Fill in the dates from the current day to within the next three days.</t>
      </text>
    </comment>
    <comment ref="AM2" authorId="0" shapeId="0">
      <text>
        <t>非必填，max=50
Optional, max=50</t>
      </text>
    </comment>
    <comment ref="AO2" authorId="0" shapeId="0">
      <text>
        <t>如果使用增值服務 - PoD 簽單返還，請於此欄目填寫所需的簽單返還派件證明類型，可同時填寫多個類型。
簽單返還類型：
1.簽名
2.蓋章
3.收取派件存根
4.其他文件
* 如果客戶需要選擇多於一個類型，請以半形逗號分隔
例：如選擇“簽名 + 蓋章”，請輸入“1,2”
* 另外，如果選擇「其他文件」，則必須填寫「PoD 備註」
When the PoD service is selected, user must fill-in the target PoD type, which support more than 1 type
PoD Type:
1. Sign
2. Stamp
3. Collect delivery stubs
4. Other documents
* If there are more than one type, please use comma as the delimiter
e.g. "Sign" + "Stamp", please insert "1,2"
* Moreover, if "Other documents" is selected, user must fill-in "PoD - Remark"</t>
      </text>
    </comment>
    <comment ref="AP2" authorId="0" shapeId="0">
      <text>
        <t xml:space="preserve">1. 如果簽單返還類型選擇「其他文件」，則必須填寫「PoD 備註」
2. max=20 
1.  If "Other documents" is selected for the target PoD type, user must fill-in "PoD - Remark".
2. max=20 </t>
      </text>
    </comment>
    <comment ref="AQ2" authorId="0" shapeId="0">
      <text>
        <t xml:space="preserve">如果使用增值服務 - 密碼認證，請確保已填上收件人手機號碼，以接收6位數字密碼。此服務的取件方式，只適用於上門派送或順豐營業點、順豐站自取；不適用於順豐自助櫃、合作點自取。
If V.A.S – Secret Key Authentication is required, please make sure the mobile phone number of recipient has been properly filled in order to receive the 6-digit password. This service is only available for To-door delivery, Self-pick up at SF Business Station and SF Store. </t>
      </text>
    </comment>
    <comment ref="AR2" authorId="0" shapeId="0">
      <text>
        <t>1. 如果使用增值服務 - CoD 代收貨款，請填寫需要為您代收的金額。
2. 數值範圍：0.1 - 1000000
1. When the V.A.S - Cash on Delivery is selected, user shall fill in the cash amount targeted to collect.
2.Value range: 0.1 - 1000000</t>
      </text>
    </comment>
    <comment ref="AS2" authorId="0" shapeId="0">
      <text>
        <t>如果使用增值服務 - CoD 代收貨款，請填寫已開通此服務的月結號。
When the V.A.S - Cash on Delivery is selected, user shall fill in the correct credit account number.</t>
      </text>
    </comment>
    <comment ref="AT2" authorId="0" shapeId="0">
      <text>
        <t>註：收件方地區為香港/澳門，托寄物達到或超過20KG，請選擇送貨方式。如客戶選擇自取或送貨上樓（無需行樓梯）而上門派送時需行樓梯，派送時到方需支付附加費。
Note: When the recipient area is Hong Kong or Macau, for items weighing 20KG or more, please select a delivery method.  If the customer chooses Self-pickup/Ground floor pickup or Upstairs Delivery (no climb stairs required) but stairs are required during the delivery, a value added service must be paid upon delivery.</t>
      </text>
    </comment>
    <comment ref="AU2" authorId="0" shapeId="0">
      <text>
        <t>如果使用增值服務 - 送貨上樓（需行樓梯），請填寫行樓梯層數。
When the V.A.S - Upstairs Delivery (climb stairs required) is selected, user shall fill in the floor level.</t>
      </text>
    </comment>
    <comment ref="AV2" authorId="0" shapeId="0">
      <text>
        <t xml:space="preserve">如果使用增值服務 - 心意送，請於此欄目填寫所需要的賀卡，一張訂單只能填寫一款賀卡。
* 如果使用增值服務 - 心意送，且需要賀卡，請輸入賀卡ID
例：如賀卡ID為“HK001”，請輸入“HK001”。
* 如果使用增值服務 - 心意送，但不需要賀卡，請輸入“不選擇”。
* 查看賀卡ID請前往「元素 sheet - N列」
* 另外，如果需要賀卡，則必須填寫「心意送 - 賀卡祝福語」和「心意送 - 賀卡署名」。
When the Surprise Delivery service is selected, user must fill-in the greeting e-cards name. Only one e-card name can be filled per order.
* If user use the Surprise Delivery service and need a greeting e-card,  please insert the ‌greeting e-card id‌.
e.g.  If the greeting e-card id‌ is "HK001", please insert "HK001".
* If user use the Surprise Delivery service but do not need a greeting e-card,  please insert "No card".
* Navigate to the 'Info' sheet and locate Column N to find the greeting e-card id‌.
* Moreover, if user need a greeting e-card, user must fill-in "Surprise Delivery - Greeting message" and "Surprise Delivery - Signature". </t>
      </text>
    </comment>
    <comment ref="AW2" authorId="0" shapeId="0">
      <text>
        <t>如果需要賀卡，則必須填寫「心意送 - 賀卡祝福語」。
賀卡祝福語類型：
1. 默認祝福語
2. 自定義祝福語
* 如果使用默認祝福語，請輸入”1_月結平台提供的默認祝福語”
例：如默認祝福語為“希望你喜歡這份禮物！”，請輸入“1_希望你喜歡這份禮物！”。
* 如果使用自定義祝福語，請輸入”2_自定義祝福語”
例：如輸入“2_親愛的，恭喜你今年發大財啊，發財記得請食飯”。
* 查看默認祝福語請前往「元素 sheet - N列」
* 自定義祝福語 max=60
If user need a greeting e-card, user must fill-in "Surprise Delivery - Greeting message".
Greeting Message Type:
1. Recommend Greetings
2. Customized Greetings
* If user use the Recommend Greeting message,  please insert "1_ Recommend Greeting Provided by the C.A.M.P.".
e.g.  If the recommend greeting is "I hope you like this gift！", please insert "1_I hope you like this gift！".
* If user use the Customized Greeting message, please insert "2_ Customized Greeting".
e.g.  Insert "2_Dear, congratulations on making a fortune this year!".
*  Navigate to the 'Info' sheet and locate Column N to find the recommend greeting.
* Customized Greeting Message, max=60</t>
      </text>
    </comment>
    <comment ref="AX2" authorId="0" shapeId="0">
      <text>
        <t>如果需要賀卡，則必須填寫「心意送 - 賀卡署名」。
If user need a greeting e-card, user must fill-in "Surprise Delivery - Signature".</t>
      </text>
    </comment>
    <comment ref="AY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AZ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BA2" authorId="0" shapeId="0">
      <text>
        <t>只有指定月結號才可以設置收件校驗碼。
Only designated monthly statement accounts can set up recipient verification codes.</t>
      </text>
    </comment>
  </commentList>
</comments>
</file>

<file path=xl/comments/comment2.xml><?xml version="1.0" encoding="utf-8"?>
<comments xmlns="http://schemas.openxmlformats.org/spreadsheetml/2006/main">
  <authors>
    <author>Administrator</author>
  </authors>
  <commentList>
    <comment ref="W1" authorId="0" shapeId="0">
      <text>
        <t>如同一訂單有多於一個托寄物，需另開一行並輸入相同的客戶訂單編號，然後補充托寄物訊息，其他訊息不用填寫。
If there are more than one consignments in a single order, user needs to start a new row with same customer order number, then supplement the consignment information only.</t>
      </text>
    </comment>
    <comment ref="A2" authorId="0" shapeId="0">
      <text>
        <t>1. 非必填，max=30
2. 請勿填寫此前已填寫過的客戶訂單編號。
1. Optional, max=30
2. Please do not fill in an Customer Order I.D. that has already been used before.</t>
      </text>
    </comment>
    <comment ref="B2" authorId="0" shapeId="0">
      <text>
        <t>必填，max=30
Required, max=30</t>
      </text>
    </comment>
    <comment ref="D2" authorId="0" shapeId="0">
      <text>
        <t>手機號碼和固網電話必須填寫一個。
Must fill in either a mobile number or a fixed number.</t>
      </text>
    </comment>
    <comment ref="E2" authorId="0" shapeId="0">
      <text>
        <t>手機號碼和固網電話必須填寫一個。
 Must fill in either a mobile number or a fixed number.</t>
      </text>
    </comment>
    <comment ref="F2" authorId="0" shapeId="0">
      <text>
        <t>非必填，max=100
Optional, max=100</t>
      </text>
    </comment>
    <comment ref="J2" authorId="0" shapeId="0">
      <text>
        <t>必填，max=150
Required, max=150</t>
      </text>
    </comment>
    <comment ref="K2" authorId="0" shapeId="0">
      <text>
        <t>必填，max=30
Required, max=30</t>
      </text>
    </comment>
    <comment ref="M2" authorId="0" shapeId="0">
      <text>
        <t>手機號碼和固網電話必須填寫一個。
Must fill in either a mobile number or a fixed number.</t>
      </text>
    </comment>
    <comment ref="N2" authorId="0" shapeId="0">
      <text>
        <t>手機號碼和固網電話必須填寫一個。
Must fill in either a mobile number or a fixed number.</t>
      </text>
    </comment>
    <comment ref="O2" authorId="0" shapeId="0">
      <text>
        <t>非必填，max=100
Optional, max=100</t>
      </text>
    </comment>
    <comment ref="P2" authorId="0" shapeId="0">
      <text>
        <t>1. 自取點編號和具體地址必須填寫一個。
2. 如果郵寄到自取點，可以直接填寫自取點編號（一定要準確），而不用填寫收件方的具體地址。
1. Must fill in either a self Pick-up point or a detail address.
2. If parcel is sent to the SF Network Point, you can directly fill in the point code (must be accurate) instead of filling in the specific address.</t>
      </text>
    </comment>
    <comment ref="Q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R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S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T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5. max=150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
5. max=150</t>
      </text>
    </comment>
    <comment ref="U2" authorId="0" shapeId="0">
      <text>
        <t>建議填寫「證件類型」以保障快件時效。
Suggest filling in the I.D. Type to secure the transit time.</t>
      </text>
    </comment>
    <comment ref="V2" authorId="0" shapeId="0">
      <text>
        <t>1. 建議填寫「證件編號」以保障快件時效。
2. max=30
1. Suggest filling in the I.D. No. to secure the transit time.
2. max=30</t>
      </text>
    </comment>
    <comment ref="W2" authorId="0" shapeId="0">
      <text>
        <t>1. 必填，max=30
2. 分為檔案和物品，如果您郵寄的是物品，需要填寫具體的物品名稱，例如衣服，食物等。
1. Required, max=30
2. Consignment：Either documents or items. If you are sending items, specific item names must be filled in, such as clothes, food, etc.</t>
      </text>
    </comment>
    <comment ref="X2" authorId="0" shapeId="0">
      <text>
        <t>必填，數值範圍：0.01 - 9999.99
Required, value range: 0.01 - 9999.99</t>
      </text>
    </comment>
    <comment ref="Y2" authorId="0" shapeId="0">
      <text>
        <t>1. 非香港本地收件必須。
2. 數值範圍：0.01 - 99999.99
1. Must fill in for non-domestic shipments.
2. Value range: 0.01 - 99999.99</t>
      </text>
    </comment>
    <comment ref="Z2" authorId="0" shapeId="0">
      <text>
        <t>非香港本地收件必須。
Must fill in for non-domestic shipments.</t>
      </text>
    </comment>
    <comment ref="AA2" authorId="0" shapeId="0">
      <text>
        <t>1. 非香港本地收件必須。
2. 數值範圍：0 - 1000000
1. Must fill in for non-domestic shipments.
2. Value range: 0 - 1000000</t>
      </text>
    </comment>
    <comment ref="AB2" authorId="0" shapeId="0">
      <text>
        <t>非香港本地收件必須。
Must fill in for non-domestic shipments.</t>
      </text>
    </comment>
    <comment ref="AC2" authorId="0" shapeId="0">
      <text>
        <t>非香港本地收件必須。
Must fill in for non-domestic shipments.</t>
      </text>
    </comment>
    <comment ref="AD2" authorId="0" shapeId="0">
      <text>
        <t>必填，數值範圍：0.01 -  9999.99
Required, value range: 0.01 -  9999.99</t>
      </text>
    </comment>
    <comment ref="AE2" authorId="0" shapeId="0">
      <text>
        <t>1. 必填，數值範圍：1 - 50
2. 如果一張訂單只包含一個包裹，於「包裹數量（子母件數量）」填“1”。若包裹數量超過1件，即寄遞子母件。例如，同一張訂單包含三個包裹，於「包裹數量（子母件數量）」填“3”，其後會打印出三張運單，讓您的三個包裹都可以分別貼上一張運單。
1. Required, value range: 1 - 50
2. If a shipment only contains one piece of parcel, fill in "1" in "Parcel Quantity (num. of multi-piece shipments)". If a shipment consists of more than one piece of parcel, it will be sent as a multi-piece shipments. For example, fill in "3" in the " Parcel Quantity (num. of multi-piece shipments)" when three parcels are required to be sent. Three waybills will be printed so that each of your three packages can be affixed with one waybill.</t>
      </text>
    </comment>
    <comment ref="AF2" authorId="0" shapeId="0">
      <text>
        <t>1. 如果一張訂單有多個子母件，而每個子母件都需要單獨的包裹備註，請於此欄目填寫每個子母件的包裹備註。
2. 非必填，每個包裹備註 max=50
* 舉例：訂單的「包裹數量（子母件數量）」為 「4」
「包裹備註」正確填寫應為 「主單備註：xxxxxxxx+次單1備註：xxxxxxxx+次單2備註：xxxxxxxx+次單3備註：xxxxxxxx」
1. If an order has multi-piece shipments and each requires separate parcel notes, please fill in the parcel notes for each multi-piece shipment in this field.
2. Optional,max=50 perparcel note.
* Example: If the order's “Parcel Quantity (num. of multi-piece shipments)" is "4", the correct way to fill in "Parcel Notes" would be:
"Main Parcel Note: xxxxxxxx + Sub-Parcel 1 Note: xxxxxxxx + Sub-Parcel 2 Note: xxxxxxxx + Sub-Parcel 3 Note: xxxxxxxx"</t>
      </text>
    </comment>
    <comment ref="AI2" authorId="0" shapeId="0">
      <text>
        <t xml:space="preserve">如果是非香港或澳門本地件，需選擇稅金付款方式。寄付月結只適用於已開通進口稅金費用代墊服務的客戶，並需於「稅金付款帳號」填寫已開題此服務的月結號；如未開題此服務請選擇到付。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J2" authorId="0" shapeId="0">
      <text>
        <t xml:space="preserve">如果是非香港或澳門本地件，需選擇稅金付款方式。寄付月結只適用於已開通進口稅金費用代墊服務的客戶，並需於「稅金付款帳號」填寫已開通此服務的月結號；如未開通此服務請選擇到付。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K2" authorId="0" shapeId="0">
      <text>
        <t>填寫當前至未來3日內的日期。
Fill in the dates from the current day to within the next three days.</t>
      </text>
    </comment>
    <comment ref="AM2" authorId="0" shapeId="0">
      <text>
        <t>非必填，max=50
Optional, max=50</t>
      </text>
    </comment>
    <comment ref="AO2" authorId="0" shapeId="0">
      <text>
        <t xml:space="preserve">如果使用增值服務 - PoD 簽單返還，請於此欄目填寫所需的簽單返還派件證明類型，可同時填寫多個類型。
簽單返還類型：
1.簽名
2.蓋章
3.收取派件存根
4.其他文件
* 如果客戶需要選擇多於一個類型，請以半形逗號分隔
例：如選擇“簽名 + 蓋章”，請輸入“1,2”
* 另外，如果選擇「其他文件」，則必須填寫「PoD 備註」
When the PoD service is selected, user must fill-in the target PoD type, which support more than 1 type
PoD Type:
1. Sign
2. Stamp
3. Collect delivery stubs
4. Other documents
* If there are more than one type, please use comma as the delimiter
e.g. "Sign" + "Stamp", please insert "1,2"
* Moreover, if "Other documents" is selected, user must fill-in "PoD - Remark"
</t>
      </text>
    </comment>
    <comment ref="AP2" authorId="0" shapeId="0">
      <text>
        <t xml:space="preserve">1. 如果簽單返還類型選擇「其他文件」，則必須填寫「PoD 備註」
2. max=20 
1.  If "Other documents" is selected for the target PoD type, user must fill-in "PoD - Remark".
2. max=20 </t>
      </text>
    </comment>
    <comment ref="AQ2" authorId="0" shapeId="0">
      <text>
        <t xml:space="preserve">如果使用增值服務 - 密碼認證，請確保已填上收件人手機號碼，以接收6位數字密碼。此服務的取件方式，只適用於上門派送或順豐營業點、順豐站自取；不適用於順豐自助櫃、合作點自取。
If V.A.S – Secret Key Authentication is required, please make sure the mobile phone number of recipient has been properly filled in order to receive the 6-digit password. This service is only available for To-door delivery, Self-pick up at SF Business Station and SF Store. </t>
      </text>
    </comment>
    <comment ref="AR2" authorId="0" shapeId="0">
      <text>
        <t>1. 如果使用增值服務 - CoD 代收貨款，請填寫需要為您代收的金額。
2. 數值範圍：0.1 - 1000000
1. When the V.A.S - Cash on Delivery is selected, user shall fill in the cash amount targeted to collect.
2.Value range: 0.1 - 1000000</t>
      </text>
    </comment>
    <comment ref="AS2" authorId="0" shapeId="0">
      <text>
        <t>如果使用增值服務 - CoD 代收貨款，請填寫已開通此服務的月結號。
When the V.A.S - Cash on Delivery is selected, user shall fill in the correct credit account number.</t>
      </text>
    </comment>
    <comment ref="AT2" authorId="0" shapeId="0">
      <text>
        <t>註：收件方地區為香港/澳門，托寄物達到或超過20KG，請選擇送貨方式。如客戶選擇自取或送貨上樓（無需行樓梯）而上門派送時需行樓梯，派送時到方需支付附加費。
Note: When the recipient area is Hong Kong or Macau, for items weighing 20KG or more, please select a delivery method.  If the customer chooses Self-pickup/Ground floor pickup or Upstairs Delivery (no climb stairs required) but stairs are required during the delivery, a value added service must be paid upon delivery.</t>
      </text>
    </comment>
    <comment ref="AU2" authorId="0" shapeId="0">
      <text>
        <t>如果使用增值服務 - 送貨上樓（需行樓梯），請填寫行樓梯層數。
When the V.A.S - Upstairs Delivery (climb stairs required) is selected, user shall fill in the floor level.</t>
      </text>
    </comment>
    <comment ref="AV2" authorId="0" shapeId="0">
      <text>
        <t xml:space="preserve">如果使用增值服務 - 心意送，請於此欄目填寫所需要的賀卡，一張訂單只能填寫一款賀卡。
* 如果使用增值服務 - 心意送，且需要賀卡，請輸入賀卡ID
例：如賀卡ID為“HK001”，請輸入“HK001”。
* 如果使用增值服務 - 心意送，但不需要賀卡，請輸入“不選擇”。
* 查看賀卡ID請前往「元素 sheet - N列」
* 另外，如果需要賀卡，則必須填寫「心意送 - 賀卡祝福語」和「心意送 - 賀卡署名」。
When the Surprise Delivery service is selected, user must fill-in the greeting e-cards name. Only one e-card name can be filled per order.
* If user use the Surprise Delivery service and need a greeting e-card,  please insert the ‌greeting e-card id‌.
e.g.  If the greeting e-card id‌ is "HK001", please insert "HK001".
* If user use the Surprise Delivery service but do not need a greeting e-card,  please insert "No card".
* Navigate to the 'Info' sheet and locate Column N to find the greeting e-card id‌.
* Moreover, if user need a greeting e-card, user must fill-in "Surprise Delivery - Greeting message" and "Surprise Delivery - Signature". </t>
      </text>
    </comment>
    <comment ref="AW2" authorId="0" shapeId="0">
      <text>
        <t>如果需要賀卡，則必須填寫「心意送 - 賀卡祝福語」。
賀卡祝福語類型：
1. 默認祝福語
2. 自定義祝福語
* 如果使用默認祝福語，請輸入”1_月結平台提供的默認祝福語”
例：如默認祝福語為“希望你喜歡這份禮物！”，請輸入“1_希望你喜歡這份禮物！”。
* 如果使用自定義祝福語，請輸入”2_自定義祝福語”
例：如輸入“2_親愛的，恭喜你今年發大財啊，發財記得請食飯”。
* 查看默認祝福語請前往「元素 sheet - N列」
* 自定義祝福語 max=60
If user need a greeting e-card, user must fill-in "Surprise Delivery - Greeting message".
Greeting Message Type:
1. Recommend Greetings
2. Customized Greetings
* If user use the Recommend Greeting message,  please insert "1_ Recommend Greeting Provided by the C.A.M.P.".
e.g.  If the recommend greeting is "I hope you like this gift！", please insert "1_I hope you like this gift！".
* If user use the Customized Greeting message, please insert "2_ Customized Greeting".
e.g.  Insert "2_Dear, congratulations on making a fortune this year!".
*  Navigate to the 'Info' sheet and locate Column N to find the recommend greeting.
* Customized Greeting Message, max=60</t>
      </text>
    </comment>
    <comment ref="AX2" authorId="0" shapeId="0">
      <text>
        <t>如果需要賀卡，則必須填寫「心意送 - 賀卡署名」。
If user need a greeting e-card, user must fill-in "Surprise Delivery - Signature".</t>
      </text>
    </comment>
    <comment ref="AY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AZ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BA2" authorId="0" shapeId="0">
      <text>
        <t>只有指定月結號才可以設置收件校驗碼。
Only designated monthly statement accounts can set up recipient verification codes.</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htm.sf-express.com/mobile/hk/tc/promotions/detail/Surprise-Delivery-E-Card-Examples/" TargetMode="External" Id="rId1"/><Relationship Type="http://schemas.openxmlformats.org/officeDocument/2006/relationships/hyperlink" Target="https://htm.sf-express.com/mobile/hk/en/promotions/detail/Surprise-Delivery-E-Card-Examples/" TargetMode="External" Id="rId2"/><Relationship Type="http://schemas.openxmlformats.org/officeDocument/2006/relationships/hyperlink" Target="https://htm.sf-express.com/mobile/hk/sc/promotions/detail/Surprise-Delivery-E-Card-Examples/" TargetMode="External" Id="rId3"/></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codeName="Sheet1">
    <outlinePr summaryBelow="1" summaryRight="1"/>
    <pageSetUpPr/>
  </sheetPr>
  <dimension ref="A1:BA100"/>
  <sheetViews>
    <sheetView tabSelected="1" workbookViewId="0">
      <pane xSplit="1" ySplit="2" topLeftCell="AG3" activePane="bottomRight" state="frozen"/>
      <selection activeCell="A1" sqref="A1"/>
      <selection pane="topRight" activeCell="A1" sqref="A1"/>
      <selection pane="bottomLeft" activeCell="A1" sqref="A1"/>
      <selection pane="bottomRight" activeCell="AK3" sqref="AK3"/>
    </sheetView>
  </sheetViews>
  <sheetFormatPr baseColWidth="8" defaultColWidth="9" defaultRowHeight="16.5"/>
  <cols>
    <col width="20.625" customWidth="1" style="108" min="1" max="2"/>
    <col width="15.625" customWidth="1" style="106" min="3" max="3"/>
    <col width="20.625" customWidth="1" style="107" min="4" max="5"/>
    <col width="35.625" customWidth="1" style="108" min="6" max="6"/>
    <col width="20.625" customWidth="1" style="108" min="7" max="9"/>
    <col width="40.625" customWidth="1" style="108" min="10" max="10"/>
    <col width="20.625" customWidth="1" style="108" min="11" max="11"/>
    <col width="15.625" customWidth="1" style="106" min="12" max="12"/>
    <col width="20.625" customWidth="1" style="107" min="13" max="14"/>
    <col width="35.625" customWidth="1" style="108" min="15" max="15"/>
    <col width="18.625" customWidth="1" style="108" min="16" max="16"/>
    <col width="20.625" customWidth="1" style="115" min="17" max="17"/>
    <col width="25.625" customWidth="1" style="108" min="18" max="18"/>
    <col width="20.625" customWidth="1" style="108" min="19" max="19"/>
    <col width="40.625" customWidth="1" style="108" min="20" max="20"/>
    <col width="30.625" customWidth="1" style="115" min="21" max="21"/>
    <col width="20.625" customWidth="1" style="106" min="22" max="22"/>
    <col width="25.625" customWidth="1" style="115" min="23" max="23"/>
    <col width="15.625" customWidth="1" style="106" min="24" max="25"/>
    <col width="15.625" customWidth="1" style="115" min="26" max="26"/>
    <col width="15.625" customWidth="1" style="106" min="27" max="27"/>
    <col width="15.625" customWidth="1" style="115" min="28" max="28"/>
    <col width="25.625" customWidth="1" style="115" min="29" max="29"/>
    <col width="24.625" customWidth="1" style="106" min="30" max="30"/>
    <col width="35.625" customWidth="1" style="106" min="31" max="31"/>
    <col width="40.625" customWidth="1" style="108" min="32" max="32"/>
    <col width="40.625" customWidth="1" style="115" min="33" max="33"/>
    <col width="30.625" customWidth="1" style="115" min="34" max="35"/>
    <col width="35.625" customWidth="1" style="106" min="36" max="36"/>
    <col width="24.625" customWidth="1" style="124" min="37" max="37"/>
    <col width="24.625" customWidth="1" style="125" min="38" max="38"/>
    <col width="40.625" customWidth="1" style="115" min="39" max="39"/>
    <col width="24.625" customWidth="1" style="106" min="40" max="40"/>
    <col width="20.625" customWidth="1" style="115" min="41" max="41"/>
    <col width="25.625" customWidth="1" style="115" min="42" max="42"/>
    <col width="20.625" customWidth="1" style="115" min="43" max="43"/>
    <col width="20.625" customWidth="1" style="106" min="44" max="44"/>
    <col width="24.625" customWidth="1" style="106" min="45" max="45"/>
    <col width="50.625" customWidth="1" style="115" min="46" max="46"/>
    <col width="20.625" customWidth="1" style="106" min="47" max="47"/>
    <col width="20.625" customWidth="1" style="108" min="48" max="48"/>
    <col width="40.625" customWidth="1" style="108" min="49" max="49"/>
    <col width="30.625" customWidth="1" style="108" min="50" max="50"/>
    <col width="30.625" customWidth="1" style="106" min="51" max="51"/>
    <col width="24.625" customWidth="1" style="106" min="52" max="52"/>
    <col width="18.625" customWidth="1" style="108" min="53" max="53"/>
    <col width="9" customWidth="1" style="115" min="54" max="16384"/>
  </cols>
  <sheetData>
    <row r="1" ht="36" customFormat="1" customHeight="1" s="8">
      <c r="A1" s="17" t="n"/>
      <c r="B1" s="126" t="inlineStr">
        <is>
          <t>寄件方信息
Sender Information</t>
        </is>
      </c>
      <c r="C1" s="127" t="n"/>
      <c r="D1" s="127" t="n"/>
      <c r="E1" s="127" t="n"/>
      <c r="F1" s="127" t="n"/>
      <c r="G1" s="127" t="n"/>
      <c r="H1" s="127" t="n"/>
      <c r="I1" s="127" t="n"/>
      <c r="J1" s="128" t="n"/>
      <c r="K1" s="129" t="inlineStr">
        <is>
          <t>收件方信息
Receiver Information</t>
        </is>
      </c>
      <c r="L1" s="127" t="n"/>
      <c r="M1" s="127" t="n"/>
      <c r="N1" s="127" t="n"/>
      <c r="O1" s="127" t="n"/>
      <c r="P1" s="127" t="n"/>
      <c r="Q1" s="127" t="n"/>
      <c r="R1" s="127" t="n"/>
      <c r="S1" s="127" t="n"/>
      <c r="T1" s="127" t="n"/>
      <c r="U1" s="127" t="n"/>
      <c r="V1" s="128" t="n"/>
      <c r="W1" s="130" t="inlineStr">
        <is>
          <t>托寄物信息
Consignment Information</t>
        </is>
      </c>
      <c r="X1" s="127" t="n"/>
      <c r="Y1" s="127" t="n"/>
      <c r="Z1" s="127" t="n"/>
      <c r="AA1" s="127" t="n"/>
      <c r="AB1" s="127" t="n"/>
      <c r="AC1" s="128" t="n"/>
      <c r="AD1" s="45" t="inlineStr">
        <is>
          <t>包裹信息
Parcel Information</t>
        </is>
      </c>
      <c r="AE1" s="127" t="n"/>
      <c r="AF1" s="127" t="n"/>
      <c r="AG1" s="61" t="inlineStr">
        <is>
          <t>產品信息
Product Information</t>
        </is>
      </c>
      <c r="AH1" s="61" t="inlineStr">
        <is>
          <t>付款方式
Payment Method</t>
        </is>
      </c>
      <c r="AI1" s="127" t="n"/>
      <c r="AJ1" s="128" t="n"/>
      <c r="AK1" s="131" t="inlineStr">
        <is>
          <t>預約上門收件
Expected Parcel Pick-up</t>
        </is>
      </c>
      <c r="AL1" s="128" t="n"/>
      <c r="AM1" s="116" t="n"/>
      <c r="AN1" s="132" t="inlineStr">
        <is>
          <t>增值服務
V.A.S.</t>
        </is>
      </c>
      <c r="AO1" s="127" t="n"/>
      <c r="AP1" s="127" t="n"/>
      <c r="AQ1" s="127" t="n"/>
      <c r="AR1" s="127" t="n"/>
      <c r="AS1" s="127" t="n"/>
      <c r="AT1" s="127" t="n"/>
      <c r="AU1" s="127" t="n"/>
      <c r="AV1" s="127" t="n"/>
      <c r="AW1" s="127" t="n"/>
      <c r="AX1" s="127" t="n"/>
      <c r="AY1" s="127" t="n"/>
      <c r="AZ1" s="128" t="n"/>
      <c r="BA1" s="82" t="n"/>
    </row>
    <row r="2" ht="53" customFormat="1" customHeight="1" s="89">
      <c r="A2" s="22" t="inlineStr">
        <is>
          <t>客戶訂單編號
Customer Order I.D.</t>
        </is>
      </c>
      <c r="B2" s="23" t="inlineStr">
        <is>
          <t>* 姓名
Full Name</t>
        </is>
      </c>
      <c r="C2" s="24" t="inlineStr">
        <is>
          <t>* 電話區號
Area Code</t>
        </is>
      </c>
      <c r="D2" s="25" t="inlineStr">
        <is>
          <t>手機號碼
Mobile No.</t>
        </is>
      </c>
      <c r="E2" s="25" t="inlineStr">
        <is>
          <t>固網號碼
Fixed No.</t>
        </is>
      </c>
      <c r="F2" s="26" t="inlineStr">
        <is>
          <t>公司名稱
Company</t>
        </is>
      </c>
      <c r="G2" s="27" t="inlineStr">
        <is>
          <t>* 城市
City</t>
        </is>
      </c>
      <c r="H2" s="27" t="inlineStr">
        <is>
          <t>* 地區
District</t>
        </is>
      </c>
      <c r="I2" s="27" t="inlineStr">
        <is>
          <t>* 區域
Area</t>
        </is>
      </c>
      <c r="J2" s="36" t="inlineStr">
        <is>
          <t>* 詳細地址
Detail Address</t>
        </is>
      </c>
      <c r="K2" s="37" t="inlineStr">
        <is>
          <t>* 姓名
Full Name</t>
        </is>
      </c>
      <c r="L2" s="38" t="inlineStr">
        <is>
          <t>* 電話區號
Area Code</t>
        </is>
      </c>
      <c r="M2" s="39" t="inlineStr">
        <is>
          <t>手機號碼
Mobile No.</t>
        </is>
      </c>
      <c r="N2" s="39" t="inlineStr">
        <is>
          <t>固網號碼
Fixed No.</t>
        </is>
      </c>
      <c r="O2" s="41" t="inlineStr">
        <is>
          <t>公司名稱
Company</t>
        </is>
      </c>
      <c r="P2" s="41" t="inlineStr">
        <is>
          <t>自取點編號
Self Pick-up Point</t>
        </is>
      </c>
      <c r="Q2" s="41" t="inlineStr">
        <is>
          <t>省份 / 城市
Province / City</t>
        </is>
      </c>
      <c r="R2" s="41" t="inlineStr">
        <is>
          <t>市 / 縣 / 地區
City / County / District</t>
        </is>
      </c>
      <c r="S2" s="41" t="inlineStr">
        <is>
          <t>區 / 區域
District / Area</t>
        </is>
      </c>
      <c r="T2" s="41" t="inlineStr">
        <is>
          <t>詳細地址
Detail Address</t>
        </is>
      </c>
      <c r="U2" s="41" t="inlineStr">
        <is>
          <t>證件類型
I.D. Type</t>
        </is>
      </c>
      <c r="V2" s="47" t="inlineStr">
        <is>
          <t>證件號碼
I.D. No.</t>
        </is>
      </c>
      <c r="W2" s="48" t="inlineStr">
        <is>
          <t>* 物品名稱 / 類型
Item Name</t>
        </is>
      </c>
      <c r="X2" s="49" t="inlineStr">
        <is>
          <t>* 重量（KG）
Weight (KG)</t>
        </is>
      </c>
      <c r="Y2" s="56" t="inlineStr">
        <is>
          <t>數量
Quantity</t>
        </is>
      </c>
      <c r="Z2" s="57" t="inlineStr">
        <is>
          <t>單位
Unit</t>
        </is>
      </c>
      <c r="AA2" s="56" t="inlineStr">
        <is>
          <t>物品單價
Value</t>
        </is>
      </c>
      <c r="AB2" s="57" t="inlineStr">
        <is>
          <t>幣種
Currency</t>
        </is>
      </c>
      <c r="AC2" s="58" t="inlineStr">
        <is>
          <t>原產地
Origin</t>
        </is>
      </c>
      <c r="AD2" s="59" t="inlineStr">
        <is>
          <t>* 包裹總重量（KG）
Total Weight (KG)</t>
        </is>
      </c>
      <c r="AE2" s="49" t="inlineStr">
        <is>
          <t>* 包裹數量（子母件數量）
Parcel Quantity (num. of multi-piece shipments)</t>
        </is>
      </c>
      <c r="AF2" s="60" t="inlineStr">
        <is>
          <t>包裹備註
Parcel Notes</t>
        </is>
      </c>
      <c r="AG2" s="69" t="inlineStr">
        <is>
          <t>* 產品類型
Product Type</t>
        </is>
      </c>
      <c r="AH2" s="70" t="inlineStr">
        <is>
          <t>* 付款方式
Payment Method</t>
        </is>
      </c>
      <c r="AI2" s="71" t="inlineStr">
        <is>
          <t>稅金付款方式
Duties and Taxes</t>
        </is>
      </c>
      <c r="AJ2" s="72" t="inlineStr">
        <is>
          <t xml:space="preserve">稅金付款帳號
Bill Account for Duties and Taxes </t>
        </is>
      </c>
      <c r="AK2" s="133" t="inlineStr">
        <is>
          <t>日期（年-月-日）
Date (YYYY-MM-DD)</t>
        </is>
      </c>
      <c r="AL2" s="134" t="inlineStr">
        <is>
          <t>時間（時:分）
Time (HH:MM)</t>
        </is>
      </c>
      <c r="AM2" s="75" t="inlineStr">
        <is>
          <t>備註
Remark</t>
        </is>
      </c>
      <c r="AN2" s="76" t="inlineStr">
        <is>
          <t>保價-物品價值（HKD）
Insurance（HKD）</t>
        </is>
      </c>
      <c r="AO2" s="78" t="inlineStr">
        <is>
          <t>PoD 簽單返還
PoD</t>
        </is>
      </c>
      <c r="AP2" s="78" t="inlineStr">
        <is>
          <t>PoD 備註
PoD - Remark</t>
        </is>
      </c>
      <c r="AQ2" s="78" t="inlineStr">
        <is>
          <t>密碼認證
Secret Key</t>
        </is>
      </c>
      <c r="AR2" s="79" t="inlineStr">
        <is>
          <t>CoD 代收貨款
CoD - Amount</t>
        </is>
      </c>
      <c r="AS2" s="79" t="inlineStr">
        <is>
          <t>CoD 代收貨款 - 月結號
CoD - Credit A/C No.</t>
        </is>
      </c>
      <c r="AT2" s="80" t="inlineStr">
        <is>
          <t>送貨方式
Delivery method</t>
        </is>
      </c>
      <c r="AU2" s="79" t="inlineStr">
        <is>
          <t>送貨上樓 - 行樓梯層數
Upstairs Delivery - Floor level</t>
        </is>
      </c>
      <c r="AV2" s="80" t="inlineStr">
        <is>
          <t>心意送 - 賀卡
Surprise Delivery - Greeting e-cards</t>
        </is>
      </c>
      <c r="AW2" s="80" t="inlineStr">
        <is>
          <t>心意送 - 賀卡祝福語
Surprise Delivery - Greeting message</t>
        </is>
      </c>
      <c r="AX2" s="80" t="inlineStr">
        <is>
          <t>心意送 - 賀卡署名
Surprise Delivery - Signature</t>
        </is>
      </c>
      <c r="AY2" s="79" t="inlineStr">
        <is>
          <t>定時派送 - 日期（年-月-日）
Fixed Time Delivery - Date (YYYY-MM-DD)</t>
        </is>
      </c>
      <c r="AZ2" s="83" t="inlineStr">
        <is>
          <t>定時派送 - 時間（時:分）
Fixed Time Delivery - Time (HH:MM)</t>
        </is>
      </c>
      <c r="BA2" s="84" t="inlineStr">
        <is>
          <t>收件校驗碼
Recipient Verification Code</t>
        </is>
      </c>
    </row>
    <row r="3">
      <c r="A3" t="inlineStr">
        <is>
          <t>ORD-206717</t>
        </is>
      </c>
      <c r="B3" t="inlineStr">
        <is>
          <t>潘正儀</t>
        </is>
      </c>
      <c r="C3" t="n">
        <v>852</v>
      </c>
      <c r="D3" t="inlineStr">
        <is>
          <t>66832382</t>
        </is>
      </c>
      <c r="G3" t="inlineStr">
        <is>
          <t>香港/Hong Kong</t>
        </is>
      </c>
      <c r="H3" t="inlineStr">
        <is>
          <t>黃大仙區</t>
        </is>
      </c>
      <c r="I3" t="inlineStr">
        <is>
          <t>新蒲崗</t>
        </is>
      </c>
      <c r="J3" t="inlineStr">
        <is>
          <t>大有街33號佳力工業大廈603室</t>
        </is>
      </c>
      <c r="K3" t="inlineStr">
        <is>
          <t>陳秋娟</t>
        </is>
      </c>
      <c r="L3" t="n">
        <v>86</v>
      </c>
      <c r="M3" t="inlineStr">
        <is>
          <t>13537893528</t>
        </is>
      </c>
      <c r="P3" s="135" t="n"/>
      <c r="Q3" s="114" t="inlineStr">
        <is>
          <t>广东省</t>
        </is>
      </c>
      <c r="R3" s="108" t="inlineStr">
        <is>
          <t>深圳市</t>
        </is>
      </c>
      <c r="S3" s="108" t="inlineStr">
        <is>
          <t>龙岗区</t>
        </is>
      </c>
      <c r="T3" s="108" t="inlineStr">
        <is>
          <t>南联银珠路23号后门一楼</t>
        </is>
      </c>
      <c r="W3" t="inlineStr">
        <is>
          <t>Activitae 膠原蛋白</t>
        </is>
      </c>
      <c r="X3" t="n">
        <v>0.1</v>
      </c>
      <c r="Y3" t="n">
        <v>6</v>
      </c>
      <c r="Z3" t="inlineStr">
        <is>
          <t>件/piece</t>
        </is>
      </c>
      <c r="AA3" t="n">
        <v>13</v>
      </c>
      <c r="AB3" t="inlineStr">
        <is>
          <t>港元/HKD</t>
        </is>
      </c>
      <c r="AC3" t="inlineStr">
        <is>
          <t>中國台灣/Taiwan China</t>
        </is>
      </c>
      <c r="AD3" t="n">
        <v>3.3</v>
      </c>
      <c r="AE3" t="n">
        <v>1</v>
      </c>
      <c r="AG3" t="inlineStr">
        <is>
          <t>E順遞/EC-Ship</t>
        </is>
      </c>
      <c r="AH3" t="inlineStr">
        <is>
          <t>寄付月結/Pay by Sender (Credit Account)</t>
        </is>
      </c>
      <c r="AI3" t="inlineStr">
        <is>
          <t>寄付月結/Pay by Sender (Credit Account)</t>
        </is>
      </c>
      <c r="AJ3" t="inlineStr">
        <is>
          <t>8526937071</t>
        </is>
      </c>
      <c r="AY3" s="124" t="n"/>
      <c r="AZ3" s="120" t="n"/>
    </row>
    <row r="4">
      <c r="A4" t="inlineStr">
        <is>
          <t>ORD-206717</t>
        </is>
      </c>
      <c r="P4" s="135" t="n"/>
      <c r="W4" t="inlineStr">
        <is>
          <t>Activitae 視力寶加強版</t>
        </is>
      </c>
      <c r="X4" t="n">
        <v>0.1</v>
      </c>
      <c r="Y4" t="n">
        <v>8</v>
      </c>
      <c r="Z4" t="inlineStr">
        <is>
          <t>件/piece</t>
        </is>
      </c>
      <c r="AA4" t="n">
        <v>11</v>
      </c>
      <c r="AB4" t="inlineStr">
        <is>
          <t>港元/HKD</t>
        </is>
      </c>
      <c r="AC4" t="inlineStr">
        <is>
          <t>中國台灣/Taiwan China</t>
        </is>
      </c>
      <c r="AY4" s="121" t="n"/>
      <c r="AZ4" s="120" t="n"/>
    </row>
    <row r="5">
      <c r="A5" t="inlineStr">
        <is>
          <t>ORD-206717</t>
        </is>
      </c>
      <c r="P5" s="135" t="n"/>
      <c r="W5" t="inlineStr">
        <is>
          <t>BELSANTE VITAPLUS2</t>
        </is>
      </c>
      <c r="X5" t="n">
        <v>0.1</v>
      </c>
      <c r="Y5" t="n">
        <v>4</v>
      </c>
      <c r="Z5" t="inlineStr">
        <is>
          <t>件/piece</t>
        </is>
      </c>
      <c r="AA5" t="n">
        <v>18</v>
      </c>
      <c r="AB5" t="inlineStr">
        <is>
          <t>港元/HKD</t>
        </is>
      </c>
      <c r="AC5" t="inlineStr">
        <is>
          <t>中國台灣/Taiwan China</t>
        </is>
      </c>
    </row>
    <row r="6">
      <c r="A6" t="inlineStr">
        <is>
          <t>ORD-206717</t>
        </is>
      </c>
      <c r="P6" s="135" t="n"/>
      <c r="W6" t="inlineStr">
        <is>
          <t>Activitae 益生菌第二代升級版</t>
        </is>
      </c>
      <c r="X6" t="n">
        <v>0.1</v>
      </c>
      <c r="Y6" t="n">
        <v>6</v>
      </c>
      <c r="Z6" t="inlineStr">
        <is>
          <t>件/piece</t>
        </is>
      </c>
      <c r="AA6" t="n">
        <v>14</v>
      </c>
      <c r="AB6" t="inlineStr">
        <is>
          <t>港元/HKD</t>
        </is>
      </c>
      <c r="AC6" t="inlineStr">
        <is>
          <t>中國台灣/Taiwan China</t>
        </is>
      </c>
    </row>
    <row r="7">
      <c r="A7" t="inlineStr">
        <is>
          <t>ORD-206717</t>
        </is>
      </c>
      <c r="P7" s="135" t="n"/>
      <c r="W7" t="inlineStr">
        <is>
          <t>Activitae 納豆紅麴+Q10</t>
        </is>
      </c>
      <c r="X7" t="n">
        <v>0.1</v>
      </c>
      <c r="Y7" t="n">
        <v>3</v>
      </c>
      <c r="Z7" t="inlineStr">
        <is>
          <t>件/piece</t>
        </is>
      </c>
      <c r="AA7" t="n">
        <v>17</v>
      </c>
      <c r="AB7" t="inlineStr">
        <is>
          <t>港元/HKD</t>
        </is>
      </c>
      <c r="AC7" t="inlineStr">
        <is>
          <t>中國台灣/Taiwan China</t>
        </is>
      </c>
    </row>
    <row r="8">
      <c r="A8" t="inlineStr">
        <is>
          <t>ORD-206717</t>
        </is>
      </c>
      <c r="P8" s="135" t="n"/>
      <c r="W8" t="inlineStr">
        <is>
          <t>Activitae 祛濕膏</t>
        </is>
      </c>
      <c r="X8" t="n">
        <v>0.1</v>
      </c>
      <c r="Y8" t="n">
        <v>2</v>
      </c>
      <c r="Z8" t="inlineStr">
        <is>
          <t>件/piece</t>
        </is>
      </c>
      <c r="AA8" t="n">
        <v>7</v>
      </c>
      <c r="AB8" t="inlineStr">
        <is>
          <t>港元/HKD</t>
        </is>
      </c>
      <c r="AC8" t="inlineStr">
        <is>
          <t>中國台灣/Taiwan China</t>
        </is>
      </c>
    </row>
    <row r="9">
      <c r="A9" t="inlineStr">
        <is>
          <t>ORD-206717</t>
        </is>
      </c>
      <c r="P9" s="135" t="n"/>
      <c r="W9" t="inlineStr">
        <is>
          <t>SENBEL 極致緊緻精華</t>
        </is>
      </c>
      <c r="X9" t="n">
        <v>0.1</v>
      </c>
      <c r="Y9" t="n">
        <v>4</v>
      </c>
      <c r="Z9" t="inlineStr">
        <is>
          <t>件/piece</t>
        </is>
      </c>
      <c r="AA9" t="n">
        <v>16</v>
      </c>
      <c r="AB9" t="inlineStr">
        <is>
          <t>港元/HKD</t>
        </is>
      </c>
      <c r="AC9" t="inlineStr">
        <is>
          <t>中國台灣/Taiwan China</t>
        </is>
      </c>
    </row>
    <row r="10">
      <c r="P10" s="135" t="n"/>
    </row>
    <row r="11">
      <c r="P11" s="135" t="n"/>
    </row>
    <row r="12">
      <c r="P12" s="135" t="n"/>
    </row>
    <row r="13">
      <c r="P13" s="135" t="n"/>
    </row>
    <row r="14">
      <c r="P14" s="135" t="n"/>
    </row>
    <row r="15">
      <c r="F15" s="112" t="n"/>
      <c r="P15" s="135" t="n"/>
    </row>
    <row r="16">
      <c r="P16" s="135" t="n"/>
    </row>
    <row r="17">
      <c r="P17" s="135" t="n"/>
    </row>
    <row r="18">
      <c r="P18" s="135" t="n"/>
    </row>
    <row r="19">
      <c r="P19" s="135" t="n"/>
      <c r="AB19" s="115" t="n"/>
    </row>
    <row r="20">
      <c r="P20" s="135" t="n"/>
    </row>
    <row r="21">
      <c r="P21" s="135" t="n"/>
    </row>
    <row r="22">
      <c r="P22" s="135" t="n"/>
    </row>
    <row r="23">
      <c r="P23" s="135" t="n"/>
    </row>
    <row r="24">
      <c r="P24" s="135" t="n"/>
    </row>
    <row r="25">
      <c r="P25" s="135" t="n"/>
    </row>
    <row r="26">
      <c r="P26" s="135" t="n"/>
    </row>
    <row r="27">
      <c r="P27" s="135" t="n"/>
    </row>
    <row r="28">
      <c r="P28" s="135" t="n"/>
    </row>
    <row r="29">
      <c r="P29" s="135" t="n"/>
    </row>
    <row r="30">
      <c r="P30" s="135" t="n"/>
    </row>
    <row r="31">
      <c r="P31" s="135" t="n"/>
    </row>
    <row r="32">
      <c r="P32" s="135" t="n"/>
    </row>
    <row r="33">
      <c r="P33" s="135" t="n"/>
    </row>
    <row r="34">
      <c r="P34" s="135" t="n"/>
    </row>
    <row r="35">
      <c r="P35" s="135" t="n"/>
    </row>
    <row r="36">
      <c r="P36" s="135" t="n"/>
    </row>
    <row r="37">
      <c r="P37" s="135" t="n"/>
    </row>
    <row r="38">
      <c r="P38" s="135" t="n"/>
    </row>
    <row r="39">
      <c r="P39" s="135" t="n"/>
    </row>
    <row r="40">
      <c r="P40" s="135" t="n"/>
    </row>
    <row r="41">
      <c r="P41" s="135" t="n"/>
    </row>
    <row r="42">
      <c r="P42" s="135" t="n"/>
    </row>
    <row r="43">
      <c r="P43" s="135" t="n"/>
    </row>
    <row r="44">
      <c r="P44" s="135" t="n"/>
    </row>
    <row r="45">
      <c r="P45" s="135" t="n"/>
    </row>
    <row r="46">
      <c r="P46" s="135" t="n"/>
    </row>
    <row r="47">
      <c r="P47" s="135" t="n"/>
    </row>
    <row r="48">
      <c r="P48" s="135" t="n"/>
    </row>
    <row r="49">
      <c r="P49" s="135" t="n"/>
    </row>
    <row r="50">
      <c r="P50" s="135" t="n"/>
    </row>
    <row r="51">
      <c r="P51" s="135" t="n"/>
    </row>
    <row r="52">
      <c r="P52" s="135" t="n"/>
    </row>
    <row r="53">
      <c r="P53" s="135" t="n"/>
    </row>
    <row r="54">
      <c r="P54" s="135" t="n"/>
    </row>
    <row r="55">
      <c r="P55" s="135" t="n"/>
    </row>
    <row r="56">
      <c r="P56" s="135" t="n"/>
    </row>
    <row r="57">
      <c r="P57" s="135" t="n"/>
    </row>
    <row r="58">
      <c r="P58" s="135" t="n"/>
    </row>
    <row r="59">
      <c r="P59" s="135" t="n"/>
    </row>
    <row r="60">
      <c r="P60" s="135" t="n"/>
    </row>
    <row r="61">
      <c r="P61" s="135" t="n"/>
    </row>
    <row r="62">
      <c r="P62" s="135" t="n"/>
    </row>
    <row r="63">
      <c r="P63" s="135" t="n"/>
    </row>
    <row r="64">
      <c r="P64" s="135" t="n"/>
    </row>
    <row r="65">
      <c r="P65" s="135" t="n"/>
    </row>
    <row r="66">
      <c r="P66" s="135" t="n"/>
    </row>
    <row r="67">
      <c r="P67" s="135" t="n"/>
    </row>
    <row r="68">
      <c r="P68" s="135" t="n"/>
    </row>
    <row r="69">
      <c r="P69" s="135" t="n"/>
    </row>
    <row r="70">
      <c r="P70" s="135" t="n"/>
    </row>
    <row r="71">
      <c r="P71" s="135" t="n"/>
    </row>
    <row r="72">
      <c r="P72" s="135" t="n"/>
    </row>
    <row r="73">
      <c r="P73" s="135" t="n"/>
    </row>
    <row r="74">
      <c r="P74" s="135" t="n"/>
    </row>
    <row r="75">
      <c r="P75" s="135" t="n"/>
    </row>
    <row r="76">
      <c r="P76" s="135" t="n"/>
    </row>
    <row r="77">
      <c r="P77" s="135" t="n"/>
    </row>
    <row r="78">
      <c r="P78" s="135" t="n"/>
    </row>
    <row r="79">
      <c r="P79" s="135" t="n"/>
    </row>
    <row r="80">
      <c r="P80" s="135" t="n"/>
    </row>
    <row r="81">
      <c r="P81" s="135" t="n"/>
    </row>
    <row r="82">
      <c r="P82" s="135" t="n"/>
    </row>
    <row r="83">
      <c r="P83" s="135" t="n"/>
    </row>
    <row r="84">
      <c r="P84" s="135" t="n"/>
    </row>
    <row r="85">
      <c r="P85" s="135" t="n"/>
    </row>
    <row r="86">
      <c r="P86" s="135" t="n"/>
    </row>
    <row r="87">
      <c r="P87" s="135" t="n"/>
    </row>
    <row r="88">
      <c r="P88" s="135" t="n"/>
    </row>
    <row r="89">
      <c r="P89" s="135" t="n"/>
    </row>
    <row r="90">
      <c r="P90" s="135" t="n"/>
    </row>
    <row r="91">
      <c r="P91" s="135" t="n"/>
    </row>
    <row r="92">
      <c r="P92" s="135" t="n"/>
    </row>
    <row r="93">
      <c r="P93" s="135" t="n"/>
    </row>
    <row r="94">
      <c r="P94" s="135" t="n"/>
    </row>
    <row r="95">
      <c r="P95" s="135" t="n"/>
    </row>
    <row r="96">
      <c r="P96" s="135" t="n"/>
    </row>
    <row r="97">
      <c r="P97" s="135" t="n"/>
    </row>
    <row r="98">
      <c r="P98" s="135" t="n"/>
    </row>
    <row r="99">
      <c r="P99" s="135" t="n"/>
    </row>
    <row r="100">
      <c r="P100" s="135" t="n"/>
    </row>
  </sheetData>
  <sheetProtection selectLockedCells="0" selectUnlockedCells="0" sheet="1" objects="1" insertRows="1" insertHyperlinks="1" autoFilter="1" scenarios="0" formatColumns="0" deleteColumns="1" insertColumns="1" pivotTables="1" deleteRows="1" formatCells="1" formatRows="1" sort="1"/>
  <mergeCells count="7">
    <mergeCell ref="AD1:AF1"/>
    <mergeCell ref="K1:V1"/>
    <mergeCell ref="AN1:AZ1"/>
    <mergeCell ref="AH1:AJ1"/>
    <mergeCell ref="AK1:AL1"/>
    <mergeCell ref="B1:J1"/>
    <mergeCell ref="W1:AC1"/>
  </mergeCells>
  <conditionalFormatting sqref="A4:A1000">
    <cfRule type="expression" priority="59" dxfId="0">
      <formula>AND(LEN($A3)&lt;&gt;0,LEN($A4)&lt;&gt;0,$A3=$A4)</formula>
    </cfRule>
  </conditionalFormatting>
  <conditionalFormatting sqref="B4:B1000">
    <cfRule type="expression" priority="58" dxfId="1">
      <formula>AND(LEN($A3)&lt;&gt;0,LEN($A4)&lt;&gt;0,$A3=$A4)</formula>
    </cfRule>
  </conditionalFormatting>
  <conditionalFormatting sqref="C4:C1000">
    <cfRule type="expression" priority="57" dxfId="1">
      <formula>AND(LEN($A3)&lt;&gt;0,LEN($A4)&lt;&gt;0,$A3=$A4)</formula>
    </cfRule>
  </conditionalFormatting>
  <conditionalFormatting sqref="D4:D1000">
    <cfRule type="expression" priority="56" dxfId="1">
      <formula>AND(LEN($A3)&lt;&gt;0,LEN($A4)&lt;&gt;0,$A3=$A4)</formula>
    </cfRule>
  </conditionalFormatting>
  <conditionalFormatting sqref="E4:E1000">
    <cfRule type="expression" priority="55" dxfId="1">
      <formula>AND(LEN($A3)&lt;&gt;0,LEN($A4)&lt;&gt;0,$A3=$A4)</formula>
    </cfRule>
  </conditionalFormatting>
  <conditionalFormatting sqref="F4:F1000">
    <cfRule type="expression" priority="54" dxfId="1">
      <formula>AND(LEN($A3)&lt;&gt;0,LEN($A4)&lt;&gt;0,$A3=$A4)</formula>
    </cfRule>
  </conditionalFormatting>
  <conditionalFormatting sqref="G4:G1000">
    <cfRule type="expression" priority="53" dxfId="1">
      <formula>AND(LEN($A3)&lt;&gt;0,LEN($A4)&lt;&gt;0,$A3=$A4)</formula>
    </cfRule>
  </conditionalFormatting>
  <conditionalFormatting sqref="H4:H1000">
    <cfRule type="expression" priority="52" dxfId="1">
      <formula>AND(LEN($A3)&lt;&gt;0,LEN($A4)&lt;&gt;0,$A3=$A4)</formula>
    </cfRule>
  </conditionalFormatting>
  <conditionalFormatting sqref="I4:I1000">
    <cfRule type="expression" priority="51" dxfId="1">
      <formula>AND(LEN($A3)&lt;&gt;0,LEN($A4)&lt;&gt;0,$A3=$A4)</formula>
    </cfRule>
  </conditionalFormatting>
  <conditionalFormatting sqref="J4:J1000">
    <cfRule type="expression" priority="50" dxfId="1">
      <formula>AND(LEN($A3)&lt;&gt;0,LEN($A4)&lt;&gt;0,$A3=$A4)</formula>
    </cfRule>
  </conditionalFormatting>
  <conditionalFormatting sqref="K4:K1000">
    <cfRule type="expression" priority="49" dxfId="1">
      <formula>AND(LEN($A3)&lt;&gt;0,LEN($A4)&lt;&gt;0,$A3=$A4)</formula>
    </cfRule>
  </conditionalFormatting>
  <conditionalFormatting sqref="L4:L1000">
    <cfRule type="expression" priority="48" dxfId="1">
      <formula>AND(LEN($A3)&lt;&gt;0,LEN($A4)&lt;&gt;0,$A3=$A4)</formula>
    </cfRule>
  </conditionalFormatting>
  <conditionalFormatting sqref="M3:M1000">
    <cfRule type="expression" priority="203" dxfId="2">
      <formula>AND(COUNTBLANK($AQ3)=0,COUNTBLANK($M3)=1)</formula>
    </cfRule>
  </conditionalFormatting>
  <conditionalFormatting sqref="M4:M1000">
    <cfRule type="expression" priority="202" dxfId="1">
      <formula>AND(LEN($A3)&lt;&gt;0,LEN($A4)&lt;&gt;0,$A3=$A4)</formula>
    </cfRule>
  </conditionalFormatting>
  <conditionalFormatting sqref="N4:N1000">
    <cfRule type="expression" priority="47" dxfId="1">
      <formula>AND(LEN($A3)&lt;&gt;0,LEN($A4)&lt;&gt;0,$A3=$A4)</formula>
    </cfRule>
  </conditionalFormatting>
  <conditionalFormatting sqref="O4:O1000">
    <cfRule type="expression" priority="46" dxfId="1">
      <formula>AND(LEN($A3)&lt;&gt;0,LEN($A4)&lt;&gt;0,$A3=$A4)</formula>
    </cfRule>
  </conditionalFormatting>
  <conditionalFormatting sqref="P4:P1000">
    <cfRule type="expression" priority="45" dxfId="1">
      <formula>AND(LEN($A3)&lt;&gt;0,LEN($A4)&lt;&gt;0,$A3=$A4)</formula>
    </cfRule>
  </conditionalFormatting>
  <conditionalFormatting sqref="Q3:Q1000">
    <cfRule type="expression" priority="204" dxfId="1">
      <formula>COUNT(SEARCH("853",$P3))&lt;&gt;0</formula>
    </cfRule>
    <cfRule type="expression" priority="205" dxfId="3">
      <formula>COUNT(SEARCH("852",$P3))&lt;&gt;0</formula>
    </cfRule>
  </conditionalFormatting>
  <conditionalFormatting sqref="Q4:Q1000">
    <cfRule type="expression" priority="201" dxfId="1">
      <formula>AND(LEN($A3)&lt;&gt;0,LEN($A4)&lt;&gt;0,$A3=$A4)</formula>
    </cfRule>
  </conditionalFormatting>
  <conditionalFormatting sqref="R3:R1000">
    <cfRule type="expression" priority="199" dxfId="1">
      <formula>COUNT(SEARCH("853",$P3))&lt;&gt;0</formula>
    </cfRule>
    <cfRule type="expression" priority="200" dxfId="3">
      <formula>COUNT(SEARCH("852",$P3))&lt;&gt;0</formula>
    </cfRule>
  </conditionalFormatting>
  <conditionalFormatting sqref="R4:R1000">
    <cfRule type="expression" priority="198" dxfId="1">
      <formula>AND(LEN($A3)&lt;&gt;0,LEN($A4)&lt;&gt;0,$A3=$A4)</formula>
    </cfRule>
  </conditionalFormatting>
  <conditionalFormatting sqref="S3:S1000">
    <cfRule type="expression" priority="196" dxfId="1">
      <formula>COUNT(SEARCH("853",$P3))&lt;&gt;0</formula>
    </cfRule>
    <cfRule type="expression" priority="197" dxfId="3">
      <formula>COUNT(SEARCH("852",$P3))&lt;&gt;0</formula>
    </cfRule>
  </conditionalFormatting>
  <conditionalFormatting sqref="S4:S1000">
    <cfRule type="expression" priority="193" dxfId="1">
      <formula>AND(LEN($A3)&lt;&gt;0,LEN($A4)&lt;&gt;0,$A3=$A4)</formula>
    </cfRule>
  </conditionalFormatting>
  <conditionalFormatting sqref="T3:T1000">
    <cfRule type="expression" priority="191" dxfId="1">
      <formula>COUNT(SEARCH("853",$P3))&lt;&gt;0</formula>
    </cfRule>
    <cfRule type="expression" priority="192" dxfId="3">
      <formula>COUNT(SEARCH("852",$P3))&lt;&gt;0</formula>
    </cfRule>
  </conditionalFormatting>
  <conditionalFormatting sqref="T4:T1000">
    <cfRule type="expression" priority="190" dxfId="1">
      <formula>AND(LEN($A3)&lt;&gt;0,LEN($A4)&lt;&gt;0,$A3=$A4)</formula>
    </cfRule>
  </conditionalFormatting>
  <conditionalFormatting sqref="U3:U1000">
    <cfRule type="expression" priority="207" dxfId="2">
      <formula>AND(OR($Q3="台湾",$Q3="台灣",$Q3="臺灣",$Q3="臺湾",$Q3="Taiwan"),AND($O3&lt;&gt;0),ISBLANK($U3))</formula>
    </cfRule>
  </conditionalFormatting>
  <conditionalFormatting sqref="U4:U1000">
    <cfRule type="expression" priority="189" dxfId="1">
      <formula>AND(LEN($A3)&lt;&gt;0,LEN($A4)&lt;&gt;0,$A3=$A4)</formula>
    </cfRule>
  </conditionalFormatting>
  <conditionalFormatting sqref="V3:V1000">
    <cfRule type="expression" priority="142" dxfId="2">
      <formula>AND(OR($Q3="台湾",$Q3="台灣",$Q3="臺灣",$Q3="臺湾",$Q3="Taiwan"),AND($O3&lt;&gt;0),ISBLANK($V3))</formula>
    </cfRule>
  </conditionalFormatting>
  <conditionalFormatting sqref="V4:V1000">
    <cfRule type="expression" priority="188" dxfId="1">
      <formula>AND(LEN($A3)&lt;&gt;0,LEN($A4)&lt;&gt;0,$A3=$A4)</formula>
    </cfRule>
  </conditionalFormatting>
  <conditionalFormatting sqref="W3:W1000">
    <cfRule type="expression" priority="126" dxfId="2">
      <formula>AND(OR(RIGHT($Q3,8)="Province",RIGHT($Q3,4)="City",RIGHT($Q3,6)="County",RIGHT($Q3,8)="District",RIGHT($Q3,8)="Township"),ISBLANK($W3))</formula>
    </cfRule>
    <cfRule type="expression" priority="127" dxfId="2">
      <formula>AND(OR(RIGHT($Q3,1)="省",RIGHT($Q3,1)="市",RIGHT($Q3,1)="区",RIGHT($Q3,1)="县",RIGHT($Q3,1)="镇",RIGHT($Q3,1)="乡"),ISBLANK($W3))</formula>
    </cfRule>
    <cfRule type="expression" priority="128" dxfId="2">
      <formula>AND(OR(RIGHT($Q3,1)="省",RIGHT($Q3,1)="市",RIGHT($Q3,1)="區",RIGHT($Q3,1)="縣",RIGHT($Q3,1)="鎮",RIGHT($Q3,1)="鄉"),ISBLANK($W3))</formula>
    </cfRule>
    <cfRule type="expression" priority="129" dxfId="2">
      <formula>AND(OR($G3="香港",$G3="Hong Kong",$G3="香港/Hong Kong"),OR($Q3="Hong Kong",$Q3="Hong Kong, China",$Q3="HK",$Q3="HKSAR"),ISBLANK($W3))</formula>
    </cfRule>
    <cfRule type="expression" priority="130" dxfId="2">
      <formula>AND(OR($G3="香港",$G3="Hong Kong",$G3="香港/Hong Kong"),OR($Q3="香港",$Q3="中国香港",$Q3="香港特别行政区"),ISBLANK($W3))</formula>
    </cfRule>
    <cfRule type="expression" priority="131" dxfId="2">
      <formula>AND(OR($G3="香港",$G3="Hong Kong",$G3="香港/Hong Kong"),OR($Q3="香港",$Q3="中國香港",$Q3="香港特別行政區"),ISBLANK($W3))</formula>
    </cfRule>
    <cfRule type="expression" priority="132" dxfId="2">
      <formula>AND(OR($G3="澳门",$G3="澳門",$G3="Macau",$G3="澳門/Macau"),OR($Q3="Macau",$Q3="Macau, China"),ISBLANK($W3))</formula>
    </cfRule>
    <cfRule type="expression" priority="133" dxfId="2">
      <formula>AND(OR($G3="澳门",$G3="澳門",$G3="Macau",$G3="澳門/Macau"),OR($Q3="澳门",$Q3="中国澳门",$Q3="澳门特别行政区"),ISBLANK($W3))</formula>
    </cfRule>
    <cfRule type="expression" priority="134" dxfId="2">
      <formula>AND(OR($G3="澳门",$G3="澳門",$G3="Macau",$G3="澳門/Macau"),OR($Q3="澳門",$Q3="中國澳門",$Q3="澳門特別行政區"),ISBLANK($W3))</formula>
    </cfRule>
    <cfRule type="expression" priority="135" dxfId="2">
      <formula>AND(OR($G3="澳门",$G3="澳門",$G3="Macau",$G3="澳門/Macau"),OR($Q3="Hong Kong",$Q3="Hong Kong, China",$Q3="HK",$Q3="HKSAR",$Q3="Taiwan",$Q3="Taiwan, China"),ISBLANK($W3))</formula>
    </cfRule>
    <cfRule type="expression" priority="136" dxfId="2">
      <formula>AND(OR($G3="澳门",$G3="澳門",$G3="Macau",$G3="澳門/Macau"),OR($Q3="香港",$Q3="中国香港",$Q3="香港特别行政区",$Q3="台湾",$Q3="中国台湾"),ISBLANK($W3))</formula>
    </cfRule>
    <cfRule type="expression" priority="137" dxfId="2">
      <formula>AND(OR($G3="澳门",$G3="澳門",$G3="Macau",$G3="澳門/Macau"),OR($Q3="香港",$Q3="中國香港",$Q3="香港特別行政區",$Q3="台灣",$Q3="中國台灣"),ISBLANK($W3))</formula>
    </cfRule>
    <cfRule type="expression" priority="138" dxfId="2">
      <formula>AND(OR($G3="香港",$G3="Hong Kong",$G3="香港/Hong Kong"),OR($Q3="Macau",$Q3="Macau, China",$Q3="Taiwan",$Q3="Taiwan, China"),ISBLANK($W3))</formula>
    </cfRule>
    <cfRule type="expression" priority="139" dxfId="2">
      <formula>AND(OR($G3="香港",$G3="Hong Kong",$G3="香港/Hong Kong"),OR($Q3="澳门",$Q3="中国澳门",$Q3="澳门特别行政区",$Q3="台湾",$Q3="中国台湾"),ISBLANK($W3))</formula>
    </cfRule>
    <cfRule type="expression" priority="140" dxfId="2">
      <formula>AND(OR($G3="香港",$G3="Hong Kong",$G3="香港/Hong Kong"),OR($Q3="澳門",$Q3="中國澳門",$Q3="澳門特別行政區",$Q3="台灣",$Q3="中國台灣"),ISBLANK($W3))</formula>
    </cfRule>
    <cfRule type="expression" priority="141" dxfId="2">
      <formula>AND(LEN($X3)&lt;&gt;0,ISBLANK($W3))</formula>
    </cfRule>
  </conditionalFormatting>
  <conditionalFormatting sqref="X3:X1000">
    <cfRule type="expression" priority="110" dxfId="2">
      <formula>AND(OR(RIGHT($Q3,8)="Province",RIGHT($Q3,4)="City",RIGHT($Q3,6)="County",RIGHT($Q3,8)="District",RIGHT($Q3,8)="Township"),ISBLANK($X3))</formula>
    </cfRule>
    <cfRule type="expression" priority="111" dxfId="2">
      <formula>AND(OR(RIGHT($Q3,1)="省",RIGHT($Q3,1)="市",RIGHT($Q3,1)="区",RIGHT($Q3,1)="县",RIGHT($Q3,1)="镇",RIGHT($Q3,1)="乡"),ISBLANK($X3))</formula>
    </cfRule>
    <cfRule type="expression" priority="112" dxfId="2">
      <formula>AND(OR(RIGHT($Q3,1)="省",RIGHT($Q3,1)="市",RIGHT($Q3,1)="區",RIGHT($Q3,1)="縣",RIGHT($Q3,1)="鎮",RIGHT($Q3,1)="鄉"),ISBLANK($X3))</formula>
    </cfRule>
    <cfRule type="expression" priority="113" dxfId="2">
      <formula>AND(OR($G3="香港",$G3="Hong Kong",$G3="香港/Hong Kong"),OR($Q3="Hong Kong",$Q3="Hong Kong, China",$Q3="HK",$Q3="HKSAR"),ISBLANK($X3))</formula>
    </cfRule>
    <cfRule type="expression" priority="114" dxfId="2">
      <formula>AND(OR($G3="香港",$G3="Hong Kong",$G3="香港/Hong Kong"),OR($Q3="香港",$Q3="中国香港",$Q3="香港特别行政区"),ISBLANK($X3))</formula>
    </cfRule>
    <cfRule type="expression" priority="115" dxfId="2">
      <formula>AND(OR($G3="香港",$G3="Hong Kong",$G3="香港/Hong Kong"),OR($Q3="香港",$Q3="中國香港",$Q3="香港特別行政區"),ISBLANK($X3))</formula>
    </cfRule>
    <cfRule type="expression" priority="116" dxfId="2">
      <formula>AND(OR($G3="澳门",$G3="澳門",$G3="Macau",$G3="澳門/Macau"),OR($Q3="Macau",$Q3="Macau, China"),ISBLANK($X3))</formula>
    </cfRule>
    <cfRule type="expression" priority="117" dxfId="2">
      <formula>AND(OR($G3="澳门",$G3="澳門",$G3="Macau",$G3="澳門/Macau"),OR($Q3="澳门",$Q3="中国澳门",$Q3="澳门特别行政区"),ISBLANK($X3))</formula>
    </cfRule>
    <cfRule type="expression" priority="118" dxfId="2">
      <formula>AND(OR($G3="澳门",$G3="澳門",$G3="Macau",$G3="澳門/Macau"),OR($Q3="澳門",$Q3="中國澳門",$Q3="澳門特別行政區"),ISBLANK($X3))</formula>
    </cfRule>
    <cfRule type="expression" priority="119" dxfId="2">
      <formula>AND(OR($G3="澳门",$G3="澳門",$G3="Macau",$G3="澳門/Macau"),OR($Q3="Hong Kong",$Q3="Hong Kong, China",$Q3="HK",$Q3="HKSAR",$Q3="Taiwan",$Q3="Taiwan, China"),ISBLANK($X3))</formula>
    </cfRule>
    <cfRule type="expression" priority="120" dxfId="2">
      <formula>AND(OR($G3="澳门",$G3="澳門",$G3="Macau",$G3="澳門/Macau"),OR($Q3="香港",$Q3="中国香港",$Q3="香港特别行政区",$Q3="台湾",$Q3="中国台湾"),ISBLANK($X3))</formula>
    </cfRule>
    <cfRule type="expression" priority="121" dxfId="2">
      <formula>AND(OR($G3="澳门",$G3="澳門",$G3="Macau",$G3="澳門/Macau"),OR($Q3="香港",$Q3="中國香港",$Q3="香港特別行政區",$Q3="台灣",$Q3="中國台灣"),ISBLANK($X3))</formula>
    </cfRule>
    <cfRule type="expression" priority="122" dxfId="2">
      <formula>AND(OR($G3="香港",$G3="Hong Kong",$G3="香港/Hong Kong"),OR($Q3="Macau",$Q3="Macau, China",$Q3="Taiwan",$Q3="Taiwan, China"),ISBLANK($X3))</formula>
    </cfRule>
    <cfRule type="expression" priority="123" dxfId="2">
      <formula>AND(OR($G3="香港",$G3="Hong Kong",$G3="香港/Hong Kong"),OR($Q3="澳门",$Q3="中国澳门",$Q3="澳门特别行政区",$Q3="台湾",$Q3="中国台湾"),ISBLANK($X3))</formula>
    </cfRule>
    <cfRule type="expression" priority="124" dxfId="2">
      <formula>AND(OR($G3="香港",$G3="Hong Kong",$G3="香港/Hong Kong"),OR($Q3="澳門",$Q3="中國澳門",$Q3="澳門特別行政區",$Q3="台灣",$Q3="中國台灣"),ISBLANK($X3))</formula>
    </cfRule>
    <cfRule type="expression" priority="125" dxfId="2">
      <formula>AND(LEN($W3)&lt;&gt;0,ISBLANK($X3))</formula>
    </cfRule>
  </conditionalFormatting>
  <conditionalFormatting sqref="Y3:Y1000">
    <cfRule type="expression" priority="100" dxfId="2">
      <formula>AND(OR(RIGHT($Q3,8)="Province",RIGHT($Q3,4)="City",RIGHT($Q3,6)="County",RIGHT($Q3,8)="District",RIGHT($Q3,8)="Township"),ISBLANK($Y3))</formula>
    </cfRule>
    <cfRule type="expression" priority="101" dxfId="2">
      <formula>AND(OR(RIGHT($Q3,1)="省",RIGHT($Q3,1)="市",RIGHT($Q3,1)="区",RIGHT($Q3,1)="县",RIGHT($Q3,1)="镇",RIGHT($Q3,1)="乡"),ISBLANK($Y3))</formula>
    </cfRule>
    <cfRule type="expression" priority="102" dxfId="2">
      <formula>AND(OR(RIGHT($Q3,1)="省",RIGHT($Q3,1)="市",RIGHT($Q3,1)="區",RIGHT($Q3,1)="縣",RIGHT($Q3,1)="鎮",RIGHT($Q3,1)="鄉"),ISBLANK($Y3))</formula>
    </cfRule>
    <cfRule type="expression" priority="103" dxfId="2">
      <formula>AND(OR($G3="澳门",$G3="澳門",$G3="Macau",$G3="澳門/Macau"),OR($Q3="Hong Kong",$Q3="Hong Kong, China",$Q3="HK",$Q3="HKSAR",$Q3="Taiwan",$Q3="Taiwan, China"),ISBLANK($Y3))</formula>
    </cfRule>
    <cfRule type="expression" priority="104" dxfId="2">
      <formula>AND(OR($G3="澳门",$G3="澳門",$G3="Macau",$G3="澳門/Macau"),OR($Q3="香港",$Q3="中国香港",$Q3="香港特别行政区",$Q3="台湾",$Q3="中国台湾"),ISBLANK($Y3))</formula>
    </cfRule>
    <cfRule type="expression" priority="105" dxfId="2">
      <formula>AND(OR($G3="澳门",$G3="澳門",$G3="Macau",$G3="澳門/Macau"),OR($Q3="香港",$Q3="中國香港",$Q3="香港特別行政區",$Q3="台灣",$Q3="中國台灣"),ISBLANK($Y3))</formula>
    </cfRule>
    <cfRule type="expression" priority="106" dxfId="2">
      <formula>AND(OR($G3="香港",$G3="Hong Kong",$G3="香港/Hong Kong"),OR($Q3="Macau",$Q3="Macau, China",$Q3="Taiwan",$Q3="Taiwan, China"),ISBLANK($Y3))</formula>
    </cfRule>
    <cfRule type="expression" priority="107" dxfId="2">
      <formula>AND(OR($G3="香港",$G3="Hong Kong",$G3="香港/Hong Kong"),OR($Q3="澳门",$Q3="中国澳门",$Q3="澳门特别行政区",$Q3="台湾",$Q3="中国台湾"),ISBLANK($Y3))</formula>
    </cfRule>
    <cfRule type="expression" priority="108" dxfId="2">
      <formula>AND(OR($G3="香港",$G3="Hong Kong",$G3="香港/Hong Kong"),OR($Q3="澳門",$Q3="中國澳門",$Q3="澳門特別行政區",$Q3="台灣",$Q3="中國台灣"),ISBLANK($Y3))</formula>
    </cfRule>
    <cfRule type="expression" priority="109" dxfId="2">
      <formula>AND(LEN($Z3)&lt;&gt;0,ISBLANK($Y3))</formula>
    </cfRule>
  </conditionalFormatting>
  <conditionalFormatting sqref="Z3:Z1000">
    <cfRule type="expression" priority="90" dxfId="2">
      <formula>AND(OR(RIGHT($Q3,8)="Province",RIGHT($Q3,4)="City",RIGHT($Q3,6)="County",RIGHT($Q3,8)="District",RIGHT($Q3,8)="Township"),ISBLANK($Z3))</formula>
    </cfRule>
    <cfRule type="expression" priority="91" dxfId="2">
      <formula>AND(OR(RIGHT($Q3,1)="省",RIGHT($Q3,1)="市",RIGHT($Q3,1)="区",RIGHT($Q3,1)="县",RIGHT($Q3,1)="镇",RIGHT($Q3,1)="乡"),ISBLANK($Z3))</formula>
    </cfRule>
    <cfRule type="expression" priority="92" dxfId="2">
      <formula>AND(OR(RIGHT($Q3,1)="省",RIGHT($Q3,1)="市",RIGHT($Q3,1)="區",RIGHT($Q3,1)="縣",RIGHT($Q3,1)="鎮",RIGHT($Q3,1)="鄉"),ISBLANK($Z3))</formula>
    </cfRule>
    <cfRule type="expression" priority="93" dxfId="2">
      <formula>AND(OR($G3="澳门",$G3="澳門",$G3="Macau",$G3="澳門/Macau"),OR($Q3="Hong Kong",$Q3="Hong Kong, China",$Q3="HK",$Q3="HKSAR",$Q3="Taiwan",$Q3="Taiwan, China"),ISBLANK($Z3))</formula>
    </cfRule>
    <cfRule type="expression" priority="94" dxfId="2">
      <formula>AND(OR($G3="澳门",$G3="澳門",$G3="Macau",$G3="澳門/Macau"),OR($Q3="香港",$Q3="中国香港",$Q3="香港特别行政区",$Q3="台湾",$Q3="中国台湾"),ISBLANK($Z3))</formula>
    </cfRule>
    <cfRule type="expression" priority="95" dxfId="2">
      <formula>AND(OR($G3="澳门",$G3="澳門",$G3="Macau",$G3="澳門/Macau"),OR($Q3="香港",$Q3="中國香港",$Q3="香港特別行政區",$Q3="台灣",$Q3="中國台灣"),ISBLANK($Z3))</formula>
    </cfRule>
    <cfRule type="expression" priority="96" dxfId="2">
      <formula>AND(OR($G3="香港",$G3="Hong Kong",$G3="香港/Hong Kong"),OR($Q3="Macau",$Q3="Macau, China",$Q3="Taiwan",$Q3="Taiwan, China"),ISBLANK($Z3))</formula>
    </cfRule>
    <cfRule type="expression" priority="97" dxfId="2">
      <formula>AND(OR($G3="香港",$G3="Hong Kong",$G3="香港/Hong Kong"),OR($Q3="澳门",$Q3="中国澳门",$Q3="澳门特别行政区",$Q3="台湾",$Q3="中国台湾"),ISBLANK($Z3))</formula>
    </cfRule>
    <cfRule type="expression" priority="98" dxfId="2">
      <formula>AND(OR($G3="香港",$G3="Hong Kong",$G3="香港/Hong Kong"),OR($Q3="澳門",$Q3="中國澳門",$Q3="澳門特別行政區",$Q3="台灣",$Q3="中國台灣"),ISBLANK($Z3))</formula>
    </cfRule>
    <cfRule type="expression" priority="99" dxfId="2">
      <formula>AND(LEN($Y3)&lt;&gt;0,ISBLANK($Z3))</formula>
    </cfRule>
  </conditionalFormatting>
  <conditionalFormatting sqref="AA3:AA1000">
    <cfRule type="expression" priority="80" dxfId="2">
      <formula>AND(OR(RIGHT($Q3,8)="Province",RIGHT($Q3,4)="City",RIGHT($Q3,6)="County",RIGHT($Q3,8)="District",RIGHT($Q3,8)="Township"),ISBLANK($AA3))</formula>
    </cfRule>
    <cfRule type="expression" priority="81" dxfId="2">
      <formula>AND(OR(RIGHT($Q3,1)="省",RIGHT($Q3,1)="市",RIGHT($Q3,1)="区",RIGHT($Q3,1)="县",RIGHT($Q3,1)="镇",RIGHT($Q3,1)="乡"),ISBLANK($AA3))</formula>
    </cfRule>
    <cfRule type="expression" priority="82" dxfId="2">
      <formula>AND(OR(RIGHT($Q3,1)="省",RIGHT($Q3,1)="市",RIGHT($Q3,1)="區",RIGHT($Q3,1)="縣",RIGHT($Q3,1)="鎮",RIGHT($Q3,1)="鄉"),ISBLANK($AA3))</formula>
    </cfRule>
    <cfRule type="expression" priority="83" dxfId="2">
      <formula>AND(OR($G3="澳门",$G3="澳門",$G3="Macau",$G3="澳門/Macau"),OR($Q3="Hong Kong",$Q3="Hong Kong, China",$Q3="HK",$Q3="HKSAR",$Q3="Taiwan",$Q3="Taiwan, China"),ISBLANK($AA3))</formula>
    </cfRule>
    <cfRule type="expression" priority="84" dxfId="2">
      <formula>AND(OR($G3="澳门",$G3="澳門",$G3="Macau",$G3="澳門/Macau"),OR($Q3="香港",$Q3="中国香港",$Q3="香港特别行政区",$Q3="台湾",$Q3="中国台湾"),ISBLANK($AA3))</formula>
    </cfRule>
    <cfRule type="expression" priority="85" dxfId="2">
      <formula>AND(OR($G3="澳门",$G3="澳門",$G3="Macau",$G3="澳門/Macau"),OR($Q3="香港",$Q3="中國香港",$Q3="香港特別行政區",$Q3="台灣",$Q3="中國台灣"),ISBLANK($AA3))</formula>
    </cfRule>
    <cfRule type="expression" priority="86" dxfId="2">
      <formula>AND(OR($G3="香港",$G3="Hong Kong",$G3="香港/Hong Kong"),OR($Q3="Macau",$Q3="Macau, China",$Q3="Taiwan",$Q3="Taiwan, China"),ISBLANK($AA3))</formula>
    </cfRule>
    <cfRule type="expression" priority="87" dxfId="2">
      <formula>AND(OR($G3="香港",$G3="Hong Kong",$G3="香港/Hong Kong"),OR($Q3="澳门",$Q3="中国澳门",$Q3="澳门特别行政区",$Q3="台湾",$Q3="中国台湾"),ISBLANK($AA3))</formula>
    </cfRule>
    <cfRule type="expression" priority="88" dxfId="2">
      <formula>AND(OR($G3="香港",$G3="Hong Kong",$G3="香港/Hong Kong"),OR($Q3="澳門",$Q3="中國澳門",$Q3="澳門特別行政區",$Q3="台灣",$Q3="中國台灣"),ISBLANK($AA3))</formula>
    </cfRule>
    <cfRule type="expression" priority="89" dxfId="2">
      <formula>AND(LEN($AB3)&lt;&gt;0,ISBLANK($AA3))</formula>
    </cfRule>
  </conditionalFormatting>
  <conditionalFormatting sqref="AB3:AB1000">
    <cfRule type="expression" priority="70" dxfId="2">
      <formula>AND(OR(RIGHT($Q3,8)="Province",RIGHT($Q3,4)="City",RIGHT($Q3,6)="County",RIGHT($Q3,8)="District",RIGHT($Q3,8)="Township"),ISBLANK($AB3))</formula>
    </cfRule>
    <cfRule type="expression" priority="71" dxfId="2">
      <formula>AND(OR(RIGHT($Q3,1)="省",RIGHT($Q3,1)="市",RIGHT($Q3,1)="区",RIGHT($Q3,1)="县",RIGHT($Q3,1)="镇",RIGHT($Q3,1)="乡"),ISBLANK($AB3))</formula>
    </cfRule>
    <cfRule type="expression" priority="72" dxfId="2">
      <formula>AND(OR(RIGHT($Q3,1)="省",RIGHT($Q3,1)="市",RIGHT($Q3,1)="區",RIGHT($Q3,1)="縣",RIGHT($Q3,1)="鎮",RIGHT($Q3,1)="鄉"),ISBLANK($AB3))</formula>
    </cfRule>
    <cfRule type="expression" priority="73" dxfId="2">
      <formula>AND(OR($G3="澳门",$G3="澳門",$G3="Macau",$G3="澳門/Macau"),OR($Q3="Hong Kong",$Q3="Hong Kong, China",$Q3="HK",$Q3="HKSAR",$Q3="Taiwan",$Q3="Taiwan, China"),ISBLANK($AB3))</formula>
    </cfRule>
    <cfRule type="expression" priority="74" dxfId="2">
      <formula>AND(OR($G3="澳门",$G3="澳門",$G3="Macau",$G3="澳門/Macau"),OR($Q3="香港",$Q3="中国香港",$Q3="香港特别行政区",$Q3="台湾",$Q3="中国台湾"),ISBLANK($AB3))</formula>
    </cfRule>
    <cfRule type="expression" priority="75" dxfId="2">
      <formula>AND(OR($G3="澳门",$G3="澳門",$G3="Macau",$G3="澳門/Macau"),OR($Q3="香港",$Q3="中國香港",$Q3="香港特別行政區",$Q3="台灣",$Q3="中國台灣"),ISBLANK($AB3))</formula>
    </cfRule>
    <cfRule type="expression" priority="76" dxfId="2">
      <formula>AND(OR($G3="香港",$G3="Hong Kong",$G3="香港/Hong Kong"),OR($Q3="Macau",$Q3="Macau, China",$Q3="Taiwan",$Q3="Taiwan, China"),ISBLANK($AB3))</formula>
    </cfRule>
    <cfRule type="expression" priority="77" dxfId="2">
      <formula>AND(OR($G3="香港",$G3="Hong Kong",$G3="香港/Hong Kong"),OR($Q3="澳门",$Q3="中国澳门",$Q3="澳门特别行政区",$Q3="台湾",$Q3="中国台湾"),ISBLANK($AB3))</formula>
    </cfRule>
    <cfRule type="expression" priority="78" dxfId="2">
      <formula>AND(OR($G3="香港",$G3="Hong Kong",$G3="香港/Hong Kong"),OR($Q3="澳門",$Q3="中國澳門",$Q3="澳門特別行政區",$Q3="台灣",$Q3="中國台灣"),ISBLANK($AB3))</formula>
    </cfRule>
    <cfRule type="expression" priority="79" dxfId="2">
      <formula>AND(LEN($AA3)&lt;&gt;0,ISBLANK($AB3))</formula>
    </cfRule>
  </conditionalFormatting>
  <conditionalFormatting sqref="AC3:AC1000">
    <cfRule type="expression" priority="61" dxfId="2">
      <formula>AND(OR(RIGHT($Q3,8)="Province",RIGHT($Q3,4)="City",RIGHT($Q3,6)="County",RIGHT($Q3,8)="District",RIGHT($Q3,8)="Township"),ISBLANK($AC3))</formula>
    </cfRule>
    <cfRule type="expression" priority="62" dxfId="2">
      <formula>AND(OR(RIGHT($Q3,1)="省",RIGHT($Q3,1)="市",RIGHT($Q3,1)="区",RIGHT($Q3,1)="县",RIGHT($Q3,1)="镇",RIGHT($Q3,1)="乡"),ISBLANK($AC3))</formula>
    </cfRule>
    <cfRule type="expression" priority="63" dxfId="2">
      <formula>AND(OR(RIGHT($Q3,1)="省",RIGHT($Q3,1)="市",RIGHT($Q3,1)="區",RIGHT($Q3,1)="縣",RIGHT($Q3,1)="鎮",RIGHT($Q3,1)="鄉"),ISBLANK($AC3))</formula>
    </cfRule>
    <cfRule type="expression" priority="64" dxfId="2">
      <formula>AND(OR($G3="澳门",$G3="澳門",$G3="Macau",$G3="澳門/Macau"),OR($Q3="Hong Kong",$Q3="Hong Kong, China",$Q3="HK",$Q3="HKSAR",$Q3="Taiwan",$Q3="Taiwan, China"),ISBLANK($AC3))</formula>
    </cfRule>
    <cfRule type="expression" priority="65" dxfId="2">
      <formula>AND(OR($G3="澳门",$G3="澳門",$G3="Macau",$G3="澳門/Macau"),OR($Q3="香港",$Q3="中国香港",$Q3="香港特别行政区",$Q3="台湾",$Q3="中国台湾"),ISBLANK($AC3))</formula>
    </cfRule>
    <cfRule type="expression" priority="66" dxfId="2">
      <formula>AND(OR($G3="澳门",$G3="澳門",$G3="Macau",$G3="澳門/Macau"),OR($Q3="香港",$Q3="中國香港",$Q3="香港特別行政區",$Q3="台灣",$Q3="中國台灣"),ISBLANK($AC3))</formula>
    </cfRule>
    <cfRule type="expression" priority="67" dxfId="2">
      <formula>AND(OR($G3="香港",$G3="Hong Kong",$G3="香港/Hong Kong"),OR($Q3="Macau",$Q3="Macau, China",$Q3="Taiwan",$Q3="Taiwan, China"),ISBLANK($AC3))</formula>
    </cfRule>
    <cfRule type="expression" priority="68" dxfId="2">
      <formula>AND(OR($G3="香港",$G3="Hong Kong",$G3="香港/Hong Kong"),OR($Q3="澳门",$Q3="中国澳门",$Q3="澳门特别行政区",$Q3="台湾",$Q3="中国台湾"),ISBLANK($AC3))</formula>
    </cfRule>
    <cfRule type="expression" priority="69" dxfId="2">
      <formula>AND(OR($G3="香港",$G3="Hong Kong",$G3="香港/Hong Kong"),OR($Q3="澳門",$Q3="中國澳門",$Q3="澳門特別行政區",$Q3="台灣",$Q3="中國台灣"),ISBLANK($AC3))</formula>
    </cfRule>
  </conditionalFormatting>
  <conditionalFormatting sqref="AD4:AD1000">
    <cfRule type="expression" priority="44" dxfId="1">
      <formula>AND(LEN($A3)&lt;&gt;0,LEN($A4)&lt;&gt;0,$A3=$A4)</formula>
    </cfRule>
  </conditionalFormatting>
  <conditionalFormatting sqref="AE4:AE1000">
    <cfRule type="expression" priority="43" dxfId="1">
      <formula>AND(LEN($A3)&lt;&gt;0,LEN($A4)&lt;&gt;0,$A3=$A4)</formula>
    </cfRule>
  </conditionalFormatting>
  <conditionalFormatting sqref="AF4:AF1000">
    <cfRule type="expression" priority="18" dxfId="1">
      <formula>AND(LEN($A3)&lt;&gt;0,LEN($A4)&lt;&gt;0,$A3=$A4)</formula>
    </cfRule>
  </conditionalFormatting>
  <conditionalFormatting sqref="AG4:AG1000">
    <cfRule type="expression" priority="42" dxfId="1">
      <formula>AND(LEN($A3)&lt;&gt;0,LEN($A4)&lt;&gt;0,$A3=$A4)</formula>
    </cfRule>
  </conditionalFormatting>
  <conditionalFormatting sqref="AH4:AH1000">
    <cfRule type="expression" priority="41" dxfId="1">
      <formula>AND(LEN($A3)&lt;&gt;0,LEN($A4)&lt;&gt;0,$A3=$A4)</formula>
    </cfRule>
  </conditionalFormatting>
  <conditionalFormatting sqref="AI3:AI1000">
    <cfRule type="expression" priority="167" dxfId="2">
      <formula>AND(OR(RIGHT($Q3,8)="Province",RIGHT($Q3,4)="City",RIGHT($Q3,6)="County",RIGHT($Q3,8)="District",RIGHT($Q3,8)="Township"),ISBLANK($AI3),ISBLANK($AJ3))</formula>
    </cfRule>
    <cfRule type="expression" priority="168" dxfId="2">
      <formula>AND(OR(RIGHT($Q3,1)="省",RIGHT($Q3,1)="市",RIGHT($Q3,1)="区",RIGHT($Q3,1)="县",RIGHT($Q3,1)="镇",RIGHT($Q3,1)="乡"),ISBLANK($AI3),ISBLANK($AJ3))</formula>
    </cfRule>
    <cfRule type="expression" priority="169" dxfId="2">
      <formula>AND(OR(RIGHT($Q3,1)="省",RIGHT($Q3,1)="市",RIGHT($Q3,1)="區",RIGHT($Q3,1)="縣",RIGHT($Q3,1)="鎮",RIGHT($Q3,1)="鄉"),ISBLANK($AI3),ISBLANK($AJ3))</formula>
    </cfRule>
    <cfRule type="expression" priority="170" dxfId="2">
      <formula>AND(OR($G3="澳门",$G3="澳門",$G3="Macau",$G3="澳門/Macau"),OR($Q3="香港",$Q3="中國香港",$Q3="香港特別行政區",$Q3="台灣",$Q3="中國台灣"),ISBLANK($AI3),ISBLANK($AJ3))</formula>
    </cfRule>
    <cfRule type="expression" priority="171" dxfId="2">
      <formula>AND(OR($G3="澳门",$G3="澳門",$G3="Macau",$G3="澳門/Macau"),OR($Q3="香港",$Q3="中国香港",$Q3="香港特别行政区",$Q3="台湾",$Q3="中国台湾"),ISBLANK($AI3),ISBLANK($AJ3))</formula>
    </cfRule>
    <cfRule type="expression" priority="172" dxfId="2">
      <formula>AND(OR($G3="澳门",$G3="澳門",$G3="Macau",$G3="澳門/Macau"),OR($Q3="Hong Kong",$Q3="Hong Kong, China",$Q3="HK",$Q3="HKSAR",$Q3="Taiwan",$Q3="Taiwan, China"),ISBLANK($AI3),ISBLANK($AJ3))</formula>
    </cfRule>
    <cfRule type="expression" priority="173" dxfId="2">
      <formula>AND(OR($G3="香港",$G3="Hong Kong",$G3="香港/Hong Kong"),OR($Q3="Macau",$Q3="Macau, China",$Q3="Taiwan",$Q3="Taiwan, China"),ISBLANK($AI3),ISBLANK($AJ3))</formula>
    </cfRule>
    <cfRule type="expression" priority="174" dxfId="2">
      <formula>AND(OR($G3="香港",$G3="Hong Kong",$G3="香港/Hong Kong"),OR($Q3="澳门",$Q3="中国澳门",$Q3="澳门特别行政区",$Q3="台湾",$Q3="中国台湾"),ISBLANK($AI3),ISBLANK($AJ3))</formula>
    </cfRule>
    <cfRule type="expression" priority="175" dxfId="2">
      <formula>AND(OR($G3="香港",$G3="Hong Kong",$G3="香港/Hong Kong"),OR($Q3="澳門",$Q3="中國澳門",$Q3="澳門特別行政區",$Q3="台灣",$Q3="中國台灣"),ISBLANK($AI3),ISBLANK($AJ3))</formula>
    </cfRule>
  </conditionalFormatting>
  <conditionalFormatting sqref="AI4:AI1000">
    <cfRule type="expression" priority="166" dxfId="1">
      <formula>AND(LEN($A3)&lt;&gt;0,LEN($A4)&lt;&gt;0,$A3=$A4)</formula>
    </cfRule>
  </conditionalFormatting>
  <conditionalFormatting sqref="AJ3:AJ1000">
    <cfRule type="expression" priority="37" dxfId="1">
      <formula>AND(OR($AI3="寄付現結/Pay by Sender",$AI3="寄付现结",$AI3="寄付現結",$AI3="Pay by Sender"),COUNTBLANK($AJ$3)=1)</formula>
    </cfRule>
    <cfRule type="expression" priority="144" dxfId="2">
      <formula>AND(OR(RIGHT($Q3,1)="省",RIGHT($Q3,1)="市",RIGHT($Q3,1)="區",RIGHT($Q3,1)="縣",RIGHT($Q3,1)="鎮",RIGHT($Q3,1)="鄉"),ISBLANK($AI3),ISBLANK($AJ3))</formula>
    </cfRule>
    <cfRule type="expression" priority="145" dxfId="2">
      <formula>AND(OR(RIGHT($Q3,1)="省",RIGHT($Q3,1)="市",RIGHT($Q3,1)="区",RIGHT($Q3,1)="县",RIGHT($Q3,1)="镇",RIGHT($Q3,1)="乡"),ISBLANK($AI3),ISBLANK($AJ3))</formula>
    </cfRule>
    <cfRule type="expression" priority="146" dxfId="2">
      <formula>AND(OR(RIGHT($Q3,8)="Province",RIGHT($Q3,4)="City",RIGHT($Q3,6)="County",RIGHT($Q3,8)="District",RIGHT($Q3,8)="Township"),ISBLANK($AI3),ISBLANK($AJ3))</formula>
    </cfRule>
    <cfRule type="expression" priority="147" dxfId="2">
      <formula>AND(OR($G3="澳门",$G3="澳門",$G3="Macau",$G3="澳門/Macau"),OR($Q3="Hong Kong",$Q3="Hong Kong, China",$Q3="HK",$Q3="HKSAR",$Q3="Taiwan",$Q3="Taiwan, China"),ISBLANK($AI3),ISBLANK($AJ3))</formula>
    </cfRule>
    <cfRule type="expression" priority="148" dxfId="2">
      <formula>AND(OR($G3="澳门",$G3="澳門",$G3="Macau",$G3="澳門/Macau"),OR($Q3="香港",$Q3="中国香港",$Q3="香港特别行政区",$Q3="台湾",$Q3="中国台湾"),ISBLANK($AI3),ISBLANK($AJ3))</formula>
    </cfRule>
    <cfRule type="expression" priority="149" dxfId="2">
      <formula>AND(OR($G3="澳门",$G3="澳門",$G3="Macau",$G3="澳門/Macau"),OR($Q3="香港",$Q3="中國香港",$Q3="香港特別行政區",$Q3="台灣",$Q3="中國台灣"),ISBLANK($AI3),ISBLANK($AJ3))</formula>
    </cfRule>
    <cfRule type="expression" priority="150" dxfId="2">
      <formula>AND(OR($G3="香港",$G3="Hong Kong",$G3="香港/Hong Kong"),OR($Q3="Macau",$Q3="Macau, China",$Q3="Taiwan",$Q3="Taiwan, China"),ISBLANK($AI3),ISBLANK($AJ3))</formula>
    </cfRule>
    <cfRule type="expression" priority="151" dxfId="2">
      <formula>AND(OR($G3="香港",$G3="Hong Kong",$G3="香港/Hong Kong"),OR($Q3="澳门",$Q3="中国澳门",$Q3="澳门特别行政区",$Q3="台湾",$Q3="中国台湾"),ISBLANK($AI3),ISBLANK($AJ3))</formula>
    </cfRule>
    <cfRule type="expression" priority="152" dxfId="2">
      <formula>AND(OR($G3="香港",$G3="Hong Kong",$G3="香港/Hong Kong"),OR($Q3="澳門",$Q3="中國澳門",$Q3="澳門特別行政區",$Q3="台灣",$Q3="中國台灣"),ISBLANK($AI3),ISBLANK($AJ3))</formula>
    </cfRule>
    <cfRule type="expression" priority="153" dxfId="2">
      <formula>AND(OR(RIGHT($Q3,1)="省",RIGHT($Q3,1)="市",RIGHT($Q3,1)="區",RIGHT($Q3,1)="縣",RIGHT($Q3,1)="鎮",RIGHT($Q3,1)="鄉"),OR($AI3="寄付月結/Pay by Sender (Credit Account)",$AI3="寄付月结",$AI3="寄付月結",$AI3="Pay by Sender (Credit Account)"),ISBLANK($AJ3))</formula>
    </cfRule>
    <cfRule type="expression" priority="154" dxfId="2">
      <formula>AND(OR(RIGHT($Q3,1)="省",RIGHT($Q3,1)="市",RIGHT($Q3,1)="区",RIGHT($Q3,1)="县",RIGHT($Q3,1)="镇",RIGHT($Q3,1)="乡"),OR($AI3="寄付月結/Pay by Sender (Credit Account)",$AI3="寄付月结",$AI3="寄付月結",$AI3="Pay by Sender (Credit Account)"),ISBLANK($AJ3))</formula>
    </cfRule>
    <cfRule type="expression" priority="155" dxfId="2">
      <formula>AND(OR(RIGHT($Q3,8)="Province",RIGHT($Q3,4)="City",RIGHT($Q3,6)="County",RIGHT($Q3,8)="District",RIGHT($Q3,8)="Township"),OR($AI3="寄付月結/Pay by Sender (Credit Account)",$AI3="寄付月结",$AI3="寄付月結",$AI3="Pay by Sender (Credit Account)"),ISBLANK($AJ3))</formula>
    </cfRule>
    <cfRule type="expression" priority="156" dxfId="2">
      <formula>AND(OR($G3="澳门",$G3="澳門",$G3="Macau",$G3="澳門/Macau"),OR($Q3="Hong Kong",$Q3="Hong Kong, China",$Q3="HK",$Q3="HKSAR",$Q3="Taiwan",$Q3="Taiwan, China"),OR($AI3="寄付月結/Pay by Sender (Credit Account)",$AI3="寄付月结",$AI3="寄付月結",$AI3="Pay by Sender (Credit Account)"),ISBLANK($AJ3))</formula>
    </cfRule>
    <cfRule type="expression" priority="157" dxfId="2">
      <formula>AND(OR($G3="澳门",$G3="澳門",$G3="Macau",$G3="澳門/Macau"),OR($Q3="香港",$Q3="中国香港",$Q3="香港特别行政区",$Q3="台湾",$Q3="中国台湾"),OR($AI3="寄付月結/Pay by Sender (Credit Account)",$AI3="寄付月结",$AI3="寄付月結",$AI3="Pay by Sender (Credit Account)"),ISBLANK($AJ3))</formula>
    </cfRule>
    <cfRule type="expression" priority="158" dxfId="2">
      <formula>AND(OR($G3="澳门",$G3="澳門",$G3="Macau",$G3="澳門/Macau"),OR($Q3="香港",$Q3="中國香港",$Q3="香港特別行政區",$Q3="台灣",$Q3="中國台灣"),OR($AI3="寄付月結/Pay by Sender (Credit Account)",$AI3="寄付月结",$AI3="寄付月結",$AI3="Pay by Sender (Credit Account)"),ISBLANK($AJ3))</formula>
    </cfRule>
    <cfRule type="expression" priority="159" dxfId="2">
      <formula>AND(OR($G3="香港",$G3="Hong Kong",$G3="香港/Hong Kong"),OR($Q3="Macau",$Q3="Macau, China",$Q3="Taiwan",$Q3="Taiwan, China"),OR($AI3="寄付月結/Pay by Sender (Credit Account)",$AI3="寄付月结",$AI3="寄付月結",$AI3="Pay by Sender (Credit Account)"),ISBLANK($AJ3))</formula>
    </cfRule>
    <cfRule type="expression" priority="160" dxfId="2">
      <formula>AND(OR($G3="香港",$G3="Hong Kong",$G3="香港/Hong Kong"),OR($Q3="澳门",$Q3="中国澳门",$Q3="澳门特别行政区",$Q3="台湾",$Q3="中国台湾"),OR($AI3="寄付月結/Pay by Sender (Credit Account)",$AI3="寄付月结",$AI3="寄付月結",$AI3="Pay by Sender (Credit Account)"),ISBLANK($AJ3))</formula>
    </cfRule>
    <cfRule type="expression" priority="161" dxfId="2">
      <formula>AND(OR($G3="香港",$G3="Hong Kong",$G3="香港/Hong Kong"),OR($Q3="澳門",$Q3="中國澳門",$Q3="澳門特別行政區",$Q3="台灣",$Q3="中國台灣"),OR($AI3="寄付月結/Pay by Sender (Credit Account)",$AI3="寄付月结",$AI3="寄付月結",$AI3="Pay by Sender (Credit Account)"),ISBLANK($AJ3))</formula>
    </cfRule>
    <cfRule type="expression" priority="165" dxfId="1">
      <formula>AND(OR($AI3="到付/Pay by Recipient",$AI3="到付",$AI3="Pay by Recipient"),COUNTBLANK($AJ$3)=1)</formula>
    </cfRule>
  </conditionalFormatting>
  <conditionalFormatting sqref="AJ4:AJ1000">
    <cfRule type="expression" priority="143" dxfId="1">
      <formula>AND(LEN($A3)&lt;&gt;0,LEN($A4)&lt;&gt;0,$A3=$A4)</formula>
    </cfRule>
  </conditionalFormatting>
  <conditionalFormatting sqref="AK3:AK1000">
    <cfRule type="expression" priority="179" dxfId="4">
      <formula>AND($AK3&lt;TODAY(),COUNTBLANK($AK3)=0)</formula>
    </cfRule>
    <cfRule type="expression" priority="180" dxfId="4">
      <formula>AND($AK3&gt;TODAY()+2,COUNTBLANK($AK3)=0)</formula>
    </cfRule>
    <cfRule type="expression" priority="181" dxfId="2">
      <formula>AND(COUNTBLANK($AK3)=1,COUNTBLANK($AL3)=0)</formula>
    </cfRule>
  </conditionalFormatting>
  <conditionalFormatting sqref="AK4:AK1000">
    <cfRule type="expression" priority="178" dxfId="1">
      <formula>AND(LEN($A3)&lt;&gt;0,LEN($A4)&lt;&gt;0,$A3=$A4)</formula>
    </cfRule>
  </conditionalFormatting>
  <conditionalFormatting sqref="AL3:AL1000">
    <cfRule type="expression" priority="177" dxfId="2">
      <formula>AND(COUNTBLANK($AK3)=0,COUNTBLANK($AL3)=1)</formula>
    </cfRule>
  </conditionalFormatting>
  <conditionalFormatting sqref="AL4:AL100">
    <cfRule type="expression" priority="176" dxfId="1">
      <formula>AND(LEN($A3)&lt;&gt;0,LEN($A4)&lt;&gt;0,$A3=$A4)</formula>
    </cfRule>
  </conditionalFormatting>
  <conditionalFormatting sqref="AM4:AM1000">
    <cfRule type="expression" priority="60" dxfId="1">
      <formula>AND(LEN($A3)&lt;&gt;0,LEN($A4)&lt;&gt;0,$A3=$A4)</formula>
    </cfRule>
  </conditionalFormatting>
  <conditionalFormatting sqref="AN4:AN1000">
    <cfRule type="expression" priority="40" dxfId="1">
      <formula>AND(LEN($A3)&lt;&gt;0,LEN($A4)&lt;&gt;0,$A3=$A4)</formula>
    </cfRule>
  </conditionalFormatting>
  <conditionalFormatting sqref="AO4:AO1000">
    <cfRule type="expression" priority="39" dxfId="1">
      <formula>AND(LEN($A3)&lt;&gt;0,LEN($A4)&lt;&gt;0,$A3=$A4)</formula>
    </cfRule>
  </conditionalFormatting>
  <conditionalFormatting sqref="AP3:AP1000">
    <cfRule type="expression" priority="183" dxfId="2">
      <formula>AND(COUNT(SEARCH(4,AO3))&lt;&gt;0,ISBLANK($AP3))</formula>
    </cfRule>
  </conditionalFormatting>
  <conditionalFormatting sqref="AP4:AP1000">
    <cfRule type="expression" priority="182" dxfId="1">
      <formula>AND(LEN($A3)&lt;&gt;0,LEN($A4)&lt;&gt;0,$A3=$A4)</formula>
    </cfRule>
  </conditionalFormatting>
  <conditionalFormatting sqref="AQ4:AQ1000">
    <cfRule type="expression" priority="38" dxfId="1">
      <formula>AND(LEN($A3)&lt;&gt;0,LEN($A4)&lt;&gt;0,$A3=$A4)</formula>
    </cfRule>
  </conditionalFormatting>
  <conditionalFormatting sqref="AR3:AR1000">
    <cfRule type="expression" priority="186" dxfId="2">
      <formula>AND(COUNTBLANK($AR3)=1,COUNTBLANK($AS3)=0)</formula>
    </cfRule>
  </conditionalFormatting>
  <conditionalFormatting sqref="AR4:AR1000">
    <cfRule type="expression" priority="185" dxfId="1">
      <formula>AND(LEN($A3)&lt;&gt;0,LEN($A4)&lt;&gt;0,$A3=$A4)</formula>
    </cfRule>
  </conditionalFormatting>
  <conditionalFormatting sqref="AS3:AS1000">
    <cfRule type="expression" priority="31" dxfId="2">
      <formula>AND(COUNTBLANK($AR3)=0,COUNTBLANK($AS3)=1)</formula>
    </cfRule>
  </conditionalFormatting>
  <conditionalFormatting sqref="AT3:AT1000">
    <cfRule type="expression" priority="32" dxfId="2">
      <formula>AND(OR($Q3="Macau",$Q3="Macau,China"),($AD3&gt;=20),ISBLANK($AT3))</formula>
    </cfRule>
    <cfRule type="expression" priority="33" dxfId="2">
      <formula>AND(OR($Q3="澳门",$Q3="中国澳门",$Q3="澳门特别行政区"),($AD3&gt;=20),ISBLANK($AT3))</formula>
    </cfRule>
    <cfRule type="expression" priority="34" dxfId="2">
      <formula>AND(OR($Q3="澳門",$Q3="中國澳門",$Q3="澳門特別行政區"),($AD3&gt;=20),ISBLANK($AT3))</formula>
    </cfRule>
    <cfRule type="expression" priority="35" dxfId="2">
      <formula>AND(OR($Q3="Hong Kong",$Q3="Hong Kong,China",$Q3="HK",$Q3="HKSAR"),($AD3&gt;=20),ISBLANK($AT3))</formula>
    </cfRule>
    <cfRule type="expression" priority="36" dxfId="2">
      <formula>AND(OR($Q3="香港",$Q3="中国香港",$Q3="香港特别行政区"),($AD3&gt;=20),ISBLANK($AT3))</formula>
    </cfRule>
    <cfRule type="expression" priority="187" dxfId="2">
      <formula>AND(OR($Q3="香港",$Q3="中國香港",$Q3="香港特別行政區"),($AD3&gt;=20),ISBLANK($AT3))</formula>
    </cfRule>
  </conditionalFormatting>
  <conditionalFormatting sqref="AU3:AU1000">
    <cfRule type="expression" priority="20" dxfId="1">
      <formula>COUNT(SEARCH("送貨上樓（無需行樓梯）/Upstairs Delivery (no climb stairs required)",$AT3))&lt;&gt;0</formula>
    </cfRule>
    <cfRule type="expression" priority="21" dxfId="2">
      <formula>AND(OR($AT3="送貨上樓（需行樓梯）",$AT3="Upstairs Delivery (climb stairs required)",$AT3="送貨上樓（需行樓梯）/Upstairs Delivery (climb stairs required)"),ISBLANK($AU3))</formula>
    </cfRule>
    <cfRule type="expression" priority="22" dxfId="1">
      <formula>COUNT(SEARCH("自提點/樓下自取/Self-pickup/Ground floor pickup",$AT3))&lt;&gt;0</formula>
    </cfRule>
  </conditionalFormatting>
  <conditionalFormatting sqref="AU4:AU1000">
    <cfRule type="expression" priority="19" dxfId="1">
      <formula>AND(LEN($A3)&lt;&gt;0,LEN($A4)&lt;&gt;0,$A3=$A4)</formula>
    </cfRule>
  </conditionalFormatting>
  <conditionalFormatting sqref="AV3:AV1000">
    <cfRule type="expression" priority="5" dxfId="2">
      <formula>AND($AW3&lt;&gt;"",$AV3="")</formula>
    </cfRule>
    <cfRule type="expression" priority="3" dxfId="2">
      <formula>AND($AX3&lt;&gt;"",$AV3="")</formula>
    </cfRule>
  </conditionalFormatting>
  <conditionalFormatting sqref="AV4:AV1000">
    <cfRule type="expression" priority="12" dxfId="1">
      <formula>AND(LEN($A3)&lt;&gt;0,LEN($A4)&lt;&gt;0,$A3=$A4)</formula>
    </cfRule>
  </conditionalFormatting>
  <conditionalFormatting sqref="AW3:AW1000">
    <cfRule type="expression" priority="8" dxfId="1">
      <formula>OR($AV3="不選擇",$AV3="不选择",$AV3="No card")</formula>
    </cfRule>
    <cfRule type="expression" priority="7" dxfId="2">
      <formula>AND($AV3&lt;&gt;"",$AW3="",NOT(OR($AV3="No card",$AV3="不选择",$AV3="不選擇")))</formula>
    </cfRule>
    <cfRule type="expression" priority="2" dxfId="2">
      <formula>AND($AX3&lt;&gt;"",$AW3="")</formula>
    </cfRule>
  </conditionalFormatting>
  <conditionalFormatting sqref="AW4:AW1000">
    <cfRule type="expression" priority="11" dxfId="1">
      <formula>AND(LEN($A3)&lt;&gt;0,LEN($A4)&lt;&gt;0,$A3=$A4)</formula>
    </cfRule>
  </conditionalFormatting>
  <conditionalFormatting sqref="AX3:AX1000">
    <cfRule type="expression" priority="9" dxfId="1">
      <formula>OR($AV3="不選擇",$AV3="不选择",$AV3="No card")</formula>
    </cfRule>
    <cfRule type="expression" priority="6" dxfId="2">
      <formula>AND($AV3&lt;&gt;"",$AX3="",NOT(OR($AV3="No card",$AV3="不选择",$AV3="不選擇")))</formula>
    </cfRule>
    <cfRule type="expression" priority="4" dxfId="2">
      <formula>AND($AW3&lt;&gt;"",$AX3="")</formula>
    </cfRule>
  </conditionalFormatting>
  <conditionalFormatting sqref="AX4:AX1000">
    <cfRule type="expression" priority="10" dxfId="1">
      <formula>AND(LEN($A3)&lt;&gt;0,LEN($A4)&lt;&gt;0,$A3=$A4)</formula>
    </cfRule>
  </conditionalFormatting>
  <conditionalFormatting sqref="AY3:AY1000">
    <cfRule type="expression" priority="17" dxfId="4">
      <formula>AND($AY3&lt;TODAY(),COUNTBLANK($AY3)=0)</formula>
    </cfRule>
    <cfRule type="expression" priority="16" dxfId="4">
      <formula>AND($AZ3&lt;&gt;"",$AY3="")</formula>
    </cfRule>
  </conditionalFormatting>
  <conditionalFormatting sqref="AY4:AY1000">
    <cfRule type="expression" priority="15" dxfId="1">
      <formula>AND(LEN($A3)&lt;&gt;0,LEN($A4)&lt;&gt;0,$A3=$A4)</formula>
    </cfRule>
  </conditionalFormatting>
  <conditionalFormatting sqref="AZ3:AZ1000">
    <cfRule type="expression" priority="14" dxfId="2">
      <formula>AND($AY3&lt;&gt;"",$AZ3="")</formula>
    </cfRule>
  </conditionalFormatting>
  <conditionalFormatting sqref="AZ4:AZ1000">
    <cfRule type="expression" priority="13" dxfId="1">
      <formula>AND(LEN($A3)&lt;&gt;0,LEN($A4)&lt;&gt;0,$A3=$A4)</formula>
    </cfRule>
  </conditionalFormatting>
  <conditionalFormatting sqref="BA4:BA1000">
    <cfRule type="expression" priority="1" dxfId="1">
      <formula>AND(LEN($A3)&lt;&gt;0,LEN($A4)&lt;&gt;0,$A3=$A4)</formula>
    </cfRule>
  </conditionalFormatting>
  <conditionalFormatting sqref="AS4:AT1000">
    <cfRule type="expression" priority="184" dxfId="1">
      <formula>AND(LEN($A3)&lt;&gt;0,LEN($A4)&lt;&gt;0,$A3=$A4)</formula>
    </cfRule>
  </conditionalFormatting>
  <dataValidations count="15">
    <dataValidation sqref="AX1 AX3:AX1048576" showDropDown="0" showInputMessage="1" showErrorMessage="1" allowBlank="1" type="list">
      <formula1>'元素 Info'!$O$2:$O$7</formula1>
    </dataValidation>
    <dataValidation sqref="C1 C3:C1048547" showDropDown="0" showInputMessage="1" showErrorMessage="1" allowBlank="1" type="list">
      <formula1>'元素 Info'!$B$2:$B$4</formula1>
    </dataValidation>
    <dataValidation sqref="G1 G3 G4 G5:G1048547" showDropDown="0" showInputMessage="1" showErrorMessage="1" allowBlank="1" type="list">
      <formula1>寄件方城市</formula1>
    </dataValidation>
    <dataValidation sqref="L1 L3:L1048547" showDropDown="0" showInputMessage="1" showErrorMessage="1" allowBlank="1" type="list">
      <formula1>'元素 Info'!$C$2:$C$5</formula1>
    </dataValidation>
    <dataValidation sqref="C2 D2 E2 G2 H2 I2 J2 L2 M2 N2 P2 Q2 R2 S2 T2 U1:U2 U101:U119 U120:U139 U140:U170 U171:U187 U188:U204 U205:U214 U215:U1048547 V2 W1:AC1 Z2 AB2 AC2 AG1 AG2 AH1:AJ1 AH2 AI2 AJ2 AK1:AL1 AK2 AQ2 AT2" showDropDown="0" showInputMessage="1" showErrorMessage="1" allowBlank="1"/>
    <dataValidation sqref="AQ1 AQ3:AQ1048547" showDropDown="0" showInputMessage="1" showErrorMessage="1" allowBlank="1" type="list">
      <formula1>'元素 Info'!$K$2</formula1>
    </dataValidation>
    <dataValidation sqref="U3 U4:U91 U92:U100" showDropDown="0" showInputMessage="1" showErrorMessage="1" allowBlank="1" type="list">
      <formula1>IF(O3&lt;&gt;"",'元素 Info'!$D$5,'元素 Info'!$D$2:$D$4)</formula1>
    </dataValidation>
    <dataValidation sqref="AT1 AT3:AT1048576" showDropDown="0" showInputMessage="1" showErrorMessage="1" allowBlank="1" type="list">
      <formula1>'元素 Info'!$M$2:$M$4</formula1>
    </dataValidation>
    <dataValidation sqref="AG3 AG4:AG1048547" showDropDown="0" showInputMessage="1" showErrorMessage="1" allowBlank="1" type="list">
      <formula1>'元素 Info'!$I$2:$I$17</formula1>
    </dataValidation>
    <dataValidation sqref="Z3:Z1048547" showDropDown="0" showInputMessage="1" showErrorMessage="1" allowBlank="1" type="list">
      <formula1>'元素 Info'!$E$2:$E$38</formula1>
    </dataValidation>
    <dataValidation sqref="AB3:AB1048547" showDropDown="0" showInputMessage="1" showErrorMessage="1" allowBlank="1" type="list">
      <formula1>'元素 Info'!$F$2:$F$12</formula1>
    </dataValidation>
    <dataValidation sqref="AC3:AC1048547" showDropDown="0" showInputMessage="1" showErrorMessage="1" allowBlank="1" type="list">
      <formula1>'元素 Info'!$G$2:$G$242</formula1>
    </dataValidation>
    <dataValidation sqref="AH3:AH1048547" showDropDown="0" showInputMessage="1" showErrorMessage="1" allowBlank="1" type="list">
      <formula1>'元素 Info'!$H$2:$H$4</formula1>
    </dataValidation>
    <dataValidation sqref="AI3:AI1048547" showDropDown="0" showInputMessage="1" showErrorMessage="1" allowBlank="1" type="list">
      <formula1>'元素 Info'!$J$2:$J$4</formula1>
    </dataValidation>
    <dataValidation sqref="AK3:AK1048576" showDropDown="0" showInputMessage="1" showErrorMessage="1" allowBlank="1" type="list">
      <formula1>'元素 Info'!$L$2:$L$4</formula1>
    </dataValidation>
  </dataValidations>
  <pageMargins left="0.7" right="0.7" top="0.75" bottom="0.75" header="0.3" footer="0.3"/>
  <pageSetup orientation="portrait" paperSize="9"/>
  <legacyDrawing xmlns:r="http://schemas.openxmlformats.org/officeDocument/2006/relationships" r:id="anysvml"/>
</worksheet>
</file>

<file path=xl/worksheets/sheet2.xml><?xml version="1.0" encoding="utf-8"?>
<worksheet xmlns="http://schemas.openxmlformats.org/spreadsheetml/2006/main">
  <sheetPr codeName="Sheet2">
    <outlinePr summaryBelow="1" summaryRight="1"/>
    <pageSetUpPr/>
  </sheetPr>
  <dimension ref="A1:O243"/>
  <sheetViews>
    <sheetView topLeftCell="E1" workbookViewId="0">
      <pane ySplit="1" topLeftCell="A2" activePane="bottomLeft" state="frozen"/>
      <selection activeCell="A1" sqref="A1"/>
      <selection pane="bottomLeft" activeCell="J17" sqref="J17"/>
    </sheetView>
  </sheetViews>
  <sheetFormatPr baseColWidth="8" defaultColWidth="9" defaultRowHeight="16.5"/>
  <cols>
    <col width="22.625" customWidth="1" style="89" min="1" max="1"/>
    <col width="22.625" customWidth="1" style="93" min="2" max="3"/>
    <col width="35.625" customWidth="1" style="89" min="4" max="4"/>
    <col width="22.625" customWidth="1" style="89" min="5" max="5"/>
    <col width="22.625" customWidth="1" style="89" min="6" max="6"/>
    <col width="40.625" customWidth="1" style="89" min="7" max="7"/>
    <col width="38.25" customWidth="1" style="89" min="8" max="8"/>
    <col width="40.625" customWidth="1" style="89" min="9" max="9"/>
    <col width="37.5" customWidth="1" style="89" min="10" max="10"/>
    <col width="22.625" customWidth="1" style="89" min="11" max="11"/>
    <col width="22.625" customWidth="1" style="136" min="12" max="12"/>
    <col width="50.625" customWidth="1" style="91" min="13" max="13"/>
    <col width="45.625" customWidth="1" style="91" min="14" max="14"/>
    <col width="35.625" customWidth="1" style="89" min="15" max="15"/>
    <col width="9" customWidth="1" style="89" min="16" max="16384"/>
  </cols>
  <sheetData>
    <row r="1" ht="45" customFormat="1" customHeight="1" s="89">
      <c r="A1" s="92" t="inlineStr">
        <is>
          <t>寄件方 - 城市
Sender - City</t>
        </is>
      </c>
      <c r="B1" s="4" t="inlineStr">
        <is>
          <t>寄件方 - 電話區號
Sender - Area Code</t>
        </is>
      </c>
      <c r="C1" s="4" t="inlineStr">
        <is>
          <t>收件方 - 電話區號
Receiver - Area Code</t>
        </is>
      </c>
      <c r="D1" s="92" t="inlineStr">
        <is>
          <t>證件類型
Receiver - I.D. Type</t>
        </is>
      </c>
      <c r="E1" s="92" t="inlineStr">
        <is>
          <t>托寄物 - 單位
Unit</t>
        </is>
      </c>
      <c r="F1" s="92" t="inlineStr">
        <is>
          <t>托寄物 - 幣種
Currency</t>
        </is>
      </c>
      <c r="G1" s="92" t="inlineStr">
        <is>
          <t>托寄物 - 原產地
Origin</t>
        </is>
      </c>
      <c r="H1" s="92" t="inlineStr">
        <is>
          <t>付款方式
Payment Method</t>
        </is>
      </c>
      <c r="I1" s="92" t="inlineStr">
        <is>
          <t>產品
Product</t>
        </is>
      </c>
      <c r="J1" s="92" t="inlineStr">
        <is>
          <t>稅金付款方式
Bill Account for Duties and Taxes</t>
        </is>
      </c>
      <c r="K1" s="92" t="inlineStr">
        <is>
          <t>增值服務 - 密碼認證
V.A.S. - Secret Key</t>
        </is>
      </c>
      <c r="L1" s="137" t="inlineStr">
        <is>
          <t>預約上門收件日期
Expected Parcel Pick-up Date</t>
        </is>
      </c>
      <c r="M1" s="138" t="inlineStr">
        <is>
          <t>增值服務 - 送貨方式
V.A.S. - Delivery method</t>
        </is>
      </c>
      <c r="N1" s="138" t="inlineStr">
        <is>
          <t>增值服務 - 心意送 - 賀卡+賀卡祝福語
V.A.S. - Surprise Delivery - Greeting e-cards &amp;  Greeting message</t>
        </is>
      </c>
      <c r="O1" s="92" t="inlineStr">
        <is>
          <t>增值服務 - 心意送 - 賀卡署名
V.A.S. - Surprise Delivery - Signature</t>
        </is>
      </c>
    </row>
    <row r="2">
      <c r="A2" s="89" t="inlineStr">
        <is>
          <t>香港/Hong Kong</t>
        </is>
      </c>
      <c r="B2" s="93" t="n">
        <v>852</v>
      </c>
      <c r="C2" s="93" t="n">
        <v>852</v>
      </c>
      <c r="D2" s="89" t="inlineStr">
        <is>
          <t>台灣身份證/Taiwan I.D. Card</t>
        </is>
      </c>
      <c r="E2" s="89" t="inlineStr">
        <is>
          <t>件/piece</t>
        </is>
      </c>
      <c r="F2" s="89" t="inlineStr">
        <is>
          <t>港元/HKD</t>
        </is>
      </c>
      <c r="G2" s="89" t="inlineStr">
        <is>
          <t>阿爾巴尼亞/Albania</t>
        </is>
      </c>
      <c r="H2" s="89" t="inlineStr">
        <is>
          <t>寄付月結/Pay by Sender (Credit Account)</t>
        </is>
      </c>
      <c r="I2" s="89" t="inlineStr">
        <is>
          <t>順豐特快/SF Speedy Express</t>
        </is>
      </c>
      <c r="J2" s="89" t="inlineStr">
        <is>
          <t>寄付月結/Pay by Sender (Credit Account)</t>
        </is>
      </c>
      <c r="K2" s="89" t="inlineStr">
        <is>
          <t>需要/Need</t>
        </is>
      </c>
      <c r="L2" s="136">
        <f>TODAY()+0</f>
        <v/>
      </c>
      <c r="M2" s="91" t="inlineStr">
        <is>
          <t>自提點/樓下自取/Self-pickup/Ground floor pickup</t>
        </is>
      </c>
      <c r="N2" s="98" t="inlineStr">
        <is>
          <t>繁體點擊此查看</t>
        </is>
      </c>
      <c r="O2" s="89" t="inlineStr">
        <is>
          <t>無樣式/No style_1</t>
        </is>
      </c>
    </row>
    <row r="3">
      <c r="A3" s="89" t="inlineStr">
        <is>
          <t>澳門/Macau</t>
        </is>
      </c>
      <c r="B3" s="93" t="n">
        <v>853</v>
      </c>
      <c r="C3" s="93" t="n">
        <v>853</v>
      </c>
      <c r="D3" s="89" t="inlineStr">
        <is>
          <t>台灣居留證/Taiwan Resident Certificate</t>
        </is>
      </c>
      <c r="E3" s="89" t="inlineStr">
        <is>
          <t>套/set</t>
        </is>
      </c>
      <c r="F3" s="89" t="inlineStr">
        <is>
          <t>澳門元/MOP</t>
        </is>
      </c>
      <c r="G3" s="89" t="inlineStr">
        <is>
          <t>阿爾及利亞/Algeria</t>
        </is>
      </c>
      <c r="H3" s="89" t="inlineStr">
        <is>
          <t>寄付現結/Pay by Sender</t>
        </is>
      </c>
      <c r="I3" s="89" t="inlineStr">
        <is>
          <t>順豐特快﹙文件﹚/SF Speedy Express (Document)</t>
        </is>
      </c>
      <c r="J3" s="89" t="inlineStr">
        <is>
          <t>寄付現結/Pay by Sender</t>
        </is>
      </c>
      <c r="K3" s="89" t="n"/>
      <c r="L3" s="136">
        <f>TODAY()+1</f>
        <v/>
      </c>
      <c r="M3" s="91" t="inlineStr">
        <is>
          <t>送貨上樓（無需行樓梯）/Upstairs Delivery (no climb stairs required)</t>
        </is>
      </c>
      <c r="N3" s="99" t="inlineStr">
        <is>
          <t>Click here for English</t>
        </is>
      </c>
      <c r="O3" s="89" t="inlineStr">
        <is>
          <t>心形樣式/Heart-shaped style_2</t>
        </is>
      </c>
    </row>
    <row r="4">
      <c r="A4" s="89" t="n"/>
      <c r="B4" s="93" t="n">
        <v>86</v>
      </c>
      <c r="C4" s="93" t="n">
        <v>86</v>
      </c>
      <c r="D4" s="89" t="inlineStr">
        <is>
          <t>護照/Passport Number</t>
        </is>
      </c>
      <c r="E4" s="89" t="inlineStr">
        <is>
          <t>條/strip</t>
        </is>
      </c>
      <c r="F4" s="89" t="inlineStr">
        <is>
          <t>人民幣/CNY</t>
        </is>
      </c>
      <c r="G4" s="89" t="inlineStr">
        <is>
          <t>阿富汗/Afghanistan</t>
        </is>
      </c>
      <c r="H4" s="89" t="inlineStr">
        <is>
          <t>到付/Pay by Recipient</t>
        </is>
      </c>
      <c r="I4" s="89" t="inlineStr">
        <is>
          <t>電商盒子 F1/EC Box F1</t>
        </is>
      </c>
      <c r="J4" s="89" t="inlineStr">
        <is>
          <t>到付/Pay by Recipient</t>
        </is>
      </c>
      <c r="L4" s="136">
        <f>TODAY()+2</f>
        <v/>
      </c>
      <c r="M4" s="91" t="inlineStr">
        <is>
          <t>送貨上樓（需行樓梯）/Upstairs Delivery (climb stairs required)</t>
        </is>
      </c>
      <c r="N4" s="100" t="inlineStr">
        <is>
          <t>简体点击此查看</t>
        </is>
      </c>
      <c r="O4" s="89" t="inlineStr">
        <is>
          <t>笑臉樣式/Smiley face style_3</t>
        </is>
      </c>
    </row>
    <row r="5">
      <c r="C5" s="93" t="n">
        <v>886</v>
      </c>
      <c r="D5" s="89" t="inlineStr">
        <is>
          <t>台灣統一編號/Tax I.D. Number</t>
        </is>
      </c>
      <c r="E5" s="89" t="inlineStr">
        <is>
          <t>把</t>
        </is>
      </c>
      <c r="F5" s="89" t="inlineStr">
        <is>
          <t>新台幣/NTD</t>
        </is>
      </c>
      <c r="G5" s="89" t="inlineStr">
        <is>
          <t>阿根廷/Argentina</t>
        </is>
      </c>
      <c r="H5" s="89" t="n"/>
      <c r="I5" s="89" t="inlineStr">
        <is>
          <t>電商盒子 F2/EC Box F2</t>
        </is>
      </c>
      <c r="N5" s="101" t="n"/>
      <c r="O5" s="89" t="inlineStr">
        <is>
          <t>星星樣式/Star-shaped style_4</t>
        </is>
      </c>
    </row>
    <row r="6">
      <c r="C6" s="93" t="n"/>
      <c r="D6" s="89" t="n"/>
      <c r="E6" s="89" t="inlineStr">
        <is>
          <t>包/bag</t>
        </is>
      </c>
      <c r="F6" s="89" t="inlineStr">
        <is>
          <t>美元/USD</t>
        </is>
      </c>
      <c r="G6" s="89" t="inlineStr">
        <is>
          <t>阿拉伯聯合大公國/United Arab Emirates</t>
        </is>
      </c>
      <c r="H6" s="89" t="n"/>
      <c r="I6" s="89" t="inlineStr">
        <is>
          <t>電商盒子 F3/EC Box F3</t>
        </is>
      </c>
      <c r="O6" s="89" t="inlineStr">
        <is>
          <t>雪花樣式/Snowflake-shaped style_5</t>
        </is>
      </c>
    </row>
    <row r="7">
      <c r="C7" s="93" t="n"/>
      <c r="D7" s="89" t="n"/>
      <c r="E7" s="89" t="inlineStr">
        <is>
          <t>本</t>
        </is>
      </c>
      <c r="F7" s="89" t="inlineStr">
        <is>
          <t>英鎊/GBP</t>
        </is>
      </c>
      <c r="G7" s="89" t="inlineStr">
        <is>
          <t>阿魯巴/Aruba</t>
        </is>
      </c>
      <c r="H7" s="89" t="n"/>
      <c r="I7" s="89" t="inlineStr">
        <is>
          <t>電商盒子 F4/EC Box F4</t>
        </is>
      </c>
      <c r="N7" s="98" t="n"/>
      <c r="O7" s="89" t="inlineStr">
        <is>
          <t>無署名/No signature</t>
        </is>
      </c>
    </row>
    <row r="8">
      <c r="C8" s="93" t="n"/>
      <c r="D8" s="89" t="n"/>
      <c r="E8" s="89" t="inlineStr">
        <is>
          <t>袋/bag</t>
        </is>
      </c>
      <c r="F8" s="89" t="inlineStr">
        <is>
          <t>日元/JPY</t>
        </is>
      </c>
      <c r="G8" s="89" t="inlineStr">
        <is>
          <t>阿曼/Oman</t>
        </is>
      </c>
      <c r="H8" s="89" t="n"/>
      <c r="I8" s="89" t="inlineStr">
        <is>
          <t>電商盒子 F5/EC Box F5</t>
        </is>
      </c>
    </row>
    <row r="9">
      <c r="C9" s="93" t="n"/>
      <c r="D9" s="89" t="n"/>
      <c r="E9" s="89" t="inlineStr">
        <is>
          <t>對/pair</t>
        </is>
      </c>
      <c r="F9" s="89" t="inlineStr">
        <is>
          <t>韓元/KRW</t>
        </is>
      </c>
      <c r="G9" s="89" t="inlineStr">
        <is>
          <t>埃及/Egypt</t>
        </is>
      </c>
      <c r="H9" s="89" t="n"/>
      <c r="I9" s="89" t="inlineStr">
        <is>
          <t>電商盒子 F6/EC Box F6</t>
        </is>
      </c>
    </row>
    <row r="10">
      <c r="C10" s="93" t="n"/>
      <c r="D10" s="89" t="n"/>
      <c r="E10" s="89" t="inlineStr">
        <is>
          <t>份</t>
        </is>
      </c>
      <c r="F10" s="89" t="inlineStr">
        <is>
          <t>新加坡元/SGD</t>
        </is>
      </c>
      <c r="G10" s="89" t="inlineStr">
        <is>
          <t>愛爾蘭/Ireland</t>
        </is>
      </c>
      <c r="H10" s="89" t="n"/>
      <c r="I10" s="89" t="inlineStr">
        <is>
          <t>E順遞/EC-Ship</t>
        </is>
      </c>
    </row>
    <row r="11">
      <c r="C11" s="93" t="n"/>
      <c r="D11" s="89" t="n"/>
      <c r="E11" s="89" t="inlineStr">
        <is>
          <t>幅</t>
        </is>
      </c>
      <c r="F11" s="89" t="inlineStr">
        <is>
          <t>馬來西亞令吉/MYR</t>
        </is>
      </c>
      <c r="G11" s="89" t="inlineStr">
        <is>
          <t>愛沙尼亞/Estonia</t>
        </is>
      </c>
      <c r="I11" s="89" t="inlineStr">
        <is>
          <t>店到店/SF Pick Up</t>
        </is>
      </c>
    </row>
    <row r="12">
      <c r="C12" s="93" t="n"/>
      <c r="D12" s="89" t="n"/>
      <c r="E12" s="89" t="inlineStr">
        <is>
          <t>副/pair</t>
        </is>
      </c>
      <c r="F12" s="89" t="inlineStr">
        <is>
          <t>泰銖/THB</t>
        </is>
      </c>
      <c r="G12" s="89" t="inlineStr">
        <is>
          <t>安道爾共和國/Andorra</t>
        </is>
      </c>
      <c r="I12" s="89" t="inlineStr">
        <is>
          <t>店到門/SF Drop Off</t>
        </is>
      </c>
    </row>
    <row r="13">
      <c r="C13" s="93" t="n"/>
      <c r="D13" s="89" t="n"/>
      <c r="E13" s="89" t="inlineStr">
        <is>
          <t>個</t>
        </is>
      </c>
      <c r="G13" s="89" t="inlineStr">
        <is>
          <t>安地卡及巴布達/Antigua and Barbuda</t>
        </is>
      </c>
      <c r="I13" s="89" t="inlineStr">
        <is>
          <t>門到店/SF Drop &amp; Pick</t>
        </is>
      </c>
    </row>
    <row r="14">
      <c r="C14" s="93" t="n"/>
      <c r="D14" s="89" t="n"/>
      <c r="E14" s="89" t="inlineStr">
        <is>
          <t>根</t>
        </is>
      </c>
      <c r="G14" s="89" t="inlineStr">
        <is>
          <t>安哥拉/Angola</t>
        </is>
      </c>
      <c r="I14" s="89" t="inlineStr">
        <is>
          <t>酒類配送/Alcohol Delivery</t>
        </is>
      </c>
      <c r="J14" s="102" t="n"/>
    </row>
    <row r="15">
      <c r="C15" s="93" t="n"/>
      <c r="D15" s="89" t="n"/>
      <c r="E15" s="89" t="inlineStr">
        <is>
          <t>盒/box</t>
        </is>
      </c>
      <c r="G15" s="89" t="inlineStr">
        <is>
          <t>安圭拉島/Anguilla (bahama's)</t>
        </is>
      </c>
      <c r="I15" s="89" t="inlineStr">
        <is>
          <t>板貨專運/Palletized Freight Delivery</t>
        </is>
      </c>
      <c r="K15" s="94" t="n"/>
    </row>
    <row r="16">
      <c r="C16" s="93" t="n"/>
      <c r="D16" s="89" t="n"/>
      <c r="E16" s="89" t="inlineStr">
        <is>
          <t>架</t>
        </is>
      </c>
      <c r="G16" s="89" t="inlineStr">
        <is>
          <t>澳大利亞/Australia</t>
        </is>
      </c>
      <c r="I16" s="89" t="inlineStr">
        <is>
          <t>失物送遞/Lost Property Delivery</t>
        </is>
      </c>
    </row>
    <row r="17">
      <c r="C17" s="93" t="n"/>
      <c r="D17" s="89" t="n"/>
      <c r="E17" s="89" t="inlineStr">
        <is>
          <t>卷/roll</t>
        </is>
      </c>
      <c r="G17" s="89" t="inlineStr">
        <is>
          <t>奧地利/Austria</t>
        </is>
      </c>
      <c r="I17" s="89" t="inlineStr">
        <is>
          <t>SF Ground Freight</t>
        </is>
      </c>
    </row>
    <row r="18">
      <c r="C18" s="93" t="n"/>
      <c r="D18" s="89" t="n"/>
      <c r="E18" s="89" t="inlineStr">
        <is>
          <t>塊/piece</t>
        </is>
      </c>
      <c r="G18" s="89" t="inlineStr">
        <is>
          <t>奧蘭群島/Aland Islands</t>
        </is>
      </c>
      <c r="I18" s="94" t="n"/>
      <c r="J18" s="102" t="n"/>
    </row>
    <row r="19">
      <c r="C19" s="93" t="n"/>
      <c r="D19" s="89" t="n"/>
      <c r="E19" s="89" t="inlineStr">
        <is>
          <t>輛</t>
        </is>
      </c>
      <c r="G19" s="89" t="inlineStr">
        <is>
          <t>巴貝多/Barbados</t>
        </is>
      </c>
      <c r="I19" s="94" t="n"/>
    </row>
    <row r="20">
      <c r="C20" s="93" t="n"/>
      <c r="D20" s="89" t="n"/>
      <c r="E20" s="89" t="inlineStr">
        <is>
          <t>片/piece</t>
        </is>
      </c>
      <c r="G20" s="89" t="inlineStr">
        <is>
          <t>巴布亞紐幾內亞/Papua New Guinea</t>
        </is>
      </c>
      <c r="I20" s="102" t="n"/>
      <c r="K20" s="102" t="n"/>
    </row>
    <row r="21">
      <c r="C21" s="93" t="n"/>
      <c r="D21" s="89" t="n"/>
      <c r="E21" s="89" t="inlineStr">
        <is>
          <t>瓶/bottle</t>
        </is>
      </c>
      <c r="G21" s="89" t="inlineStr">
        <is>
          <t>巴哈馬/Bahamas</t>
        </is>
      </c>
      <c r="I21" s="94" t="n"/>
    </row>
    <row r="22">
      <c r="C22" s="93" t="n"/>
      <c r="D22" s="89" t="n"/>
      <c r="E22" s="89" t="inlineStr">
        <is>
          <t>雙/pair</t>
        </is>
      </c>
      <c r="G22" s="89" t="inlineStr">
        <is>
          <t>巴基斯坦/Pakistan</t>
        </is>
      </c>
      <c r="I22" s="94" t="n"/>
    </row>
    <row r="23">
      <c r="C23" s="93" t="n"/>
      <c r="D23" s="89" t="n"/>
      <c r="E23" s="89" t="inlineStr">
        <is>
          <t>艘</t>
        </is>
      </c>
      <c r="G23" s="89" t="inlineStr">
        <is>
          <t>巴拉圭/Paraguay</t>
        </is>
      </c>
      <c r="I23" s="94" t="n"/>
      <c r="J23" s="102" t="n"/>
    </row>
    <row r="24">
      <c r="C24" s="93" t="n"/>
      <c r="D24" s="89" t="n"/>
      <c r="E24" s="89" t="inlineStr">
        <is>
          <t>臺</t>
        </is>
      </c>
      <c r="G24" s="89" t="inlineStr">
        <is>
          <t>巴勒斯坦/State of Palestine</t>
        </is>
      </c>
      <c r="I24" s="94" t="n"/>
    </row>
    <row r="25">
      <c r="C25" s="93" t="n"/>
      <c r="D25" s="89" t="n"/>
      <c r="E25" s="89" t="inlineStr">
        <is>
          <t>頭</t>
        </is>
      </c>
      <c r="G25" s="89" t="inlineStr">
        <is>
          <t>巴林/Bahrain</t>
        </is>
      </c>
      <c r="I25" s="94" t="n"/>
      <c r="J25" s="103" t="n"/>
    </row>
    <row r="26">
      <c r="C26" s="93" t="n"/>
      <c r="D26" s="89" t="n"/>
      <c r="E26" s="89" t="inlineStr">
        <is>
          <t>箱/box</t>
        </is>
      </c>
      <c r="G26" s="89" t="inlineStr">
        <is>
          <t>巴拿馬/Panama (Rep.)</t>
        </is>
      </c>
      <c r="I26" s="94" t="n"/>
      <c r="J26" s="103" t="n"/>
    </row>
    <row r="27">
      <c r="C27" s="93" t="n"/>
      <c r="D27" s="89" t="n"/>
      <c r="E27" s="89" t="inlineStr">
        <is>
          <t>張/piece</t>
        </is>
      </c>
      <c r="G27" s="89" t="inlineStr">
        <is>
          <t>巴西/Brazil</t>
        </is>
      </c>
      <c r="I27" s="94" t="n"/>
    </row>
    <row r="28">
      <c r="C28" s="93" t="n"/>
      <c r="D28" s="89" t="n"/>
      <c r="E28" s="89" t="inlineStr">
        <is>
          <t>支</t>
        </is>
      </c>
      <c r="G28" s="89" t="inlineStr">
        <is>
          <t>白俄羅斯/Belarus</t>
        </is>
      </c>
      <c r="I28" s="94" t="n"/>
      <c r="J28" s="103" t="n"/>
    </row>
    <row r="29">
      <c r="C29" s="93" t="n"/>
      <c r="D29" s="89" t="n"/>
      <c r="E29" s="89" t="inlineStr">
        <is>
          <t>只</t>
        </is>
      </c>
      <c r="G29" s="89" t="inlineStr">
        <is>
          <t>百慕大群島/Bermuda</t>
        </is>
      </c>
      <c r="I29" s="94" t="n"/>
      <c r="J29" s="103" t="n"/>
    </row>
    <row r="30">
      <c r="C30" s="93" t="n"/>
      <c r="D30" s="89" t="n"/>
      <c r="E30" s="89" t="inlineStr">
        <is>
          <t>枝</t>
        </is>
      </c>
      <c r="G30" s="89" t="inlineStr">
        <is>
          <t>保加利亞/Bulgaria</t>
        </is>
      </c>
    </row>
    <row r="31">
      <c r="C31" s="93" t="n"/>
      <c r="D31" s="89" t="n"/>
      <c r="E31" s="89" t="inlineStr">
        <is>
          <t>組/set</t>
        </is>
      </c>
      <c r="G31" s="89" t="inlineStr">
        <is>
          <t>北馬里安納群島/Northern Mariana Islands</t>
        </is>
      </c>
      <c r="I31" s="94" t="n"/>
    </row>
    <row r="32">
      <c r="C32" s="93" t="n"/>
      <c r="D32" s="94" t="n"/>
      <c r="E32" s="89" t="inlineStr">
        <is>
          <t>座</t>
        </is>
      </c>
      <c r="G32" s="95" t="inlineStr">
        <is>
          <t>貝里斯/Belize</t>
        </is>
      </c>
      <c r="I32" s="94" t="n"/>
    </row>
    <row r="33">
      <c r="C33" s="93" t="n"/>
      <c r="D33" s="94" t="n"/>
      <c r="E33" s="89" t="inlineStr">
        <is>
          <t>米/m</t>
        </is>
      </c>
      <c r="G33" s="95" t="inlineStr">
        <is>
          <t>貝南/Benin</t>
        </is>
      </c>
      <c r="I33" s="94" t="n"/>
      <c r="J33" s="94" t="n"/>
    </row>
    <row r="34">
      <c r="C34" s="93" t="n"/>
      <c r="D34" s="94" t="n"/>
      <c r="E34" s="89" t="inlineStr">
        <is>
          <t>kg/kg</t>
        </is>
      </c>
      <c r="G34" s="89" t="inlineStr">
        <is>
          <t>比利時/Belgium</t>
        </is>
      </c>
      <c r="I34" s="94" t="n"/>
      <c r="J34" s="104" t="n"/>
    </row>
    <row r="35">
      <c r="C35" s="93" t="n"/>
      <c r="D35" s="94" t="n"/>
      <c r="E35" s="89" t="inlineStr">
        <is>
          <t>kpcs/kpcs</t>
        </is>
      </c>
      <c r="G35" s="89" t="inlineStr">
        <is>
          <t>冰島/Iceland</t>
        </is>
      </c>
      <c r="I35" s="94" t="n"/>
      <c r="J35" s="104" t="n"/>
    </row>
    <row r="36">
      <c r="C36" s="93" t="n"/>
      <c r="D36" s="94" t="n"/>
      <c r="E36" s="89" t="inlineStr">
        <is>
          <t>碼/yard</t>
        </is>
      </c>
      <c r="G36" s="89" t="inlineStr">
        <is>
          <t>波多黎各/Puerto Rico</t>
        </is>
      </c>
      <c r="I36" s="94" t="n"/>
      <c r="J36" s="104" t="n"/>
    </row>
    <row r="37">
      <c r="C37" s="93" t="n"/>
      <c r="D37" s="94" t="n"/>
      <c r="E37" s="89" t="inlineStr">
        <is>
          <t>平方英尺/square foot</t>
        </is>
      </c>
      <c r="F37" s="94" t="n"/>
      <c r="G37" s="89" t="inlineStr">
        <is>
          <t>波蘭/Poland</t>
        </is>
      </c>
      <c r="I37" s="94" t="n"/>
      <c r="J37" s="104" t="n"/>
    </row>
    <row r="38">
      <c r="C38" s="93" t="n"/>
      <c r="D38" s="89" t="n"/>
      <c r="E38" s="89" t="inlineStr">
        <is>
          <t>DS/DS</t>
        </is>
      </c>
      <c r="G38" s="89" t="inlineStr">
        <is>
          <t>玻利尼西亞（法屬）/French polynesia</t>
        </is>
      </c>
      <c r="I38" s="94" t="n"/>
      <c r="J38" s="104" t="n"/>
    </row>
    <row r="39">
      <c r="G39" s="89" t="inlineStr">
        <is>
          <t>玻利維亞/Bolivia</t>
        </is>
      </c>
      <c r="J39" s="104" t="n"/>
    </row>
    <row r="40">
      <c r="G40" s="89" t="inlineStr">
        <is>
          <t>波士尼亞赫塞哥維納/Bosnia and Herzegovina</t>
        </is>
      </c>
      <c r="I40" s="94" t="n"/>
    </row>
    <row r="41">
      <c r="G41" s="89" t="inlineStr">
        <is>
          <t>波札那/Botswana</t>
        </is>
      </c>
      <c r="I41" s="94" t="n"/>
    </row>
    <row r="42">
      <c r="G42" s="95" t="inlineStr">
        <is>
          <t>帛琉/Palau</t>
        </is>
      </c>
      <c r="I42" s="94" t="n"/>
    </row>
    <row r="43">
      <c r="G43" s="89" t="inlineStr">
        <is>
          <t>博內爾島/Bonaire</t>
        </is>
      </c>
      <c r="I43" s="94" t="n"/>
    </row>
    <row r="44">
      <c r="G44" s="89" t="inlineStr">
        <is>
          <t>不丹/Bhutan</t>
        </is>
      </c>
    </row>
    <row r="45">
      <c r="G45" s="89" t="inlineStr">
        <is>
          <t>布吉納法索/Burkina faso</t>
        </is>
      </c>
      <c r="I45" s="94" t="n"/>
    </row>
    <row r="46">
      <c r="G46" s="89" t="inlineStr">
        <is>
          <t>布隆迪/Burundi</t>
        </is>
      </c>
      <c r="I46" s="94" t="n"/>
    </row>
    <row r="47">
      <c r="G47" s="95" t="inlineStr">
        <is>
          <t>查德/Chad</t>
        </is>
      </c>
      <c r="I47" s="94" t="n"/>
    </row>
    <row r="48">
      <c r="G48" s="89" t="inlineStr">
        <is>
          <t>朝鮮/Korea (Dem People's Rep.)</t>
        </is>
      </c>
      <c r="I48" s="94" t="n"/>
    </row>
    <row r="49">
      <c r="G49" s="89" t="inlineStr">
        <is>
          <t>赤道幾內亞/Equatorial Guinea</t>
        </is>
      </c>
      <c r="I49" s="94" t="n"/>
    </row>
    <row r="50">
      <c r="G50" s="89" t="inlineStr">
        <is>
          <t>丹麥/Denmark</t>
        </is>
      </c>
      <c r="I50" s="94" t="n"/>
    </row>
    <row r="51">
      <c r="G51" s="89" t="inlineStr">
        <is>
          <t>德國/Germany</t>
        </is>
      </c>
      <c r="I51" s="94" t="n"/>
    </row>
    <row r="52">
      <c r="G52" s="89" t="inlineStr">
        <is>
          <t>東帝汶/Timor-Leste</t>
        </is>
      </c>
      <c r="I52" s="94" t="n"/>
    </row>
    <row r="53">
      <c r="G53" s="95" t="inlineStr">
        <is>
          <t>東加/Tonga</t>
        </is>
      </c>
      <c r="I53" s="94" t="n"/>
    </row>
    <row r="54">
      <c r="G54" s="89" t="inlineStr">
        <is>
          <t>多哥/Togo</t>
        </is>
      </c>
      <c r="I54" s="94" t="n"/>
    </row>
    <row r="55">
      <c r="G55" s="89" t="inlineStr">
        <is>
          <t>多明尼加共和國/Dominican Republic</t>
        </is>
      </c>
      <c r="I55" s="94" t="n"/>
    </row>
    <row r="56">
      <c r="G56" s="89" t="inlineStr">
        <is>
          <t>多明尼克/Dominica</t>
        </is>
      </c>
      <c r="I56" s="94" t="n"/>
    </row>
    <row r="57">
      <c r="G57" s="89" t="inlineStr">
        <is>
          <t>俄羅斯/Russia</t>
        </is>
      </c>
      <c r="I57" s="94" t="n"/>
    </row>
    <row r="58">
      <c r="G58" s="89" t="inlineStr">
        <is>
          <t>厄瓜多爾/Ecuador</t>
        </is>
      </c>
      <c r="I58" s="94" t="n"/>
    </row>
    <row r="59">
      <c r="G59" s="89" t="inlineStr">
        <is>
          <t>厄立特里亞/Eritrea</t>
        </is>
      </c>
      <c r="I59" s="94" t="n"/>
    </row>
    <row r="60">
      <c r="G60" s="89" t="inlineStr">
        <is>
          <t>法國/France</t>
        </is>
      </c>
      <c r="I60" s="94" t="n"/>
    </row>
    <row r="61">
      <c r="G61" s="89" t="inlineStr">
        <is>
          <t>法羅群島/Faroe islands</t>
        </is>
      </c>
      <c r="I61" s="94" t="n"/>
    </row>
    <row r="62">
      <c r="G62" s="89" t="inlineStr">
        <is>
          <t>法屬圭亞那/French guiana</t>
        </is>
      </c>
      <c r="I62" s="94" t="n"/>
    </row>
    <row r="63">
      <c r="G63" s="95" t="inlineStr">
        <is>
          <t>法屬馬丁尼克（法屬）/Martinique (fr)</t>
        </is>
      </c>
    </row>
    <row r="64">
      <c r="G64" s="89" t="inlineStr">
        <is>
          <t>梵蒂岡/Vatican</t>
        </is>
      </c>
      <c r="I64" s="94" t="n"/>
    </row>
    <row r="65">
      <c r="G65" s="89" t="inlineStr">
        <is>
          <t>菲律賓/Philippines</t>
        </is>
      </c>
      <c r="I65" s="94" t="n"/>
    </row>
    <row r="66">
      <c r="G66" s="89" t="inlineStr">
        <is>
          <t>斐濟/Fiji</t>
        </is>
      </c>
      <c r="I66" s="94" t="n"/>
    </row>
    <row r="67">
      <c r="G67" s="89" t="inlineStr">
        <is>
          <t>芬蘭/Finland</t>
        </is>
      </c>
      <c r="I67" s="94" t="n"/>
    </row>
    <row r="68">
      <c r="G68" s="89" t="inlineStr">
        <is>
          <t>福克蘭群島/Falkland islands</t>
        </is>
      </c>
      <c r="I68" s="94" t="n"/>
    </row>
    <row r="69">
      <c r="G69" s="89" t="inlineStr">
        <is>
          <t>甘比亞/Gambia</t>
        </is>
      </c>
      <c r="I69" s="94" t="n"/>
    </row>
    <row r="70">
      <c r="G70" s="89" t="inlineStr">
        <is>
          <t>剛果/Congo</t>
        </is>
      </c>
      <c r="I70" s="94" t="n"/>
    </row>
    <row r="71">
      <c r="G71" s="89" t="inlineStr">
        <is>
          <t>剛果民主共和國/Dem. Rep. of Congo</t>
        </is>
      </c>
      <c r="I71" s="94" t="n"/>
    </row>
    <row r="72">
      <c r="G72" s="89" t="inlineStr">
        <is>
          <t>哥倫比亞/Colombia</t>
        </is>
      </c>
      <c r="I72" s="94" t="n"/>
    </row>
    <row r="73">
      <c r="G73" s="89" t="inlineStr">
        <is>
          <t>哥斯大黎加/Costa Rica</t>
        </is>
      </c>
      <c r="I73" s="94" t="n"/>
    </row>
    <row r="74">
      <c r="G74" s="89" t="inlineStr">
        <is>
          <t>格陵蘭島/Greenland</t>
        </is>
      </c>
      <c r="I74" s="94" t="n"/>
    </row>
    <row r="75">
      <c r="G75" s="89" t="inlineStr">
        <is>
          <t>格魯吉亞/Georgia</t>
        </is>
      </c>
      <c r="I75" s="94" t="n"/>
    </row>
    <row r="76">
      <c r="G76" s="89" t="inlineStr">
        <is>
          <t>格瑞那達/Grenada</t>
        </is>
      </c>
      <c r="I76" s="94" t="n"/>
    </row>
    <row r="77">
      <c r="G77" s="89" t="inlineStr">
        <is>
          <t>根西/Guernsey</t>
        </is>
      </c>
      <c r="I77" s="94" t="n"/>
    </row>
    <row r="78">
      <c r="G78" s="89" t="inlineStr">
        <is>
          <t>古巴/Cuba</t>
        </is>
      </c>
      <c r="I78" s="94" t="n"/>
    </row>
    <row r="79">
      <c r="G79" s="89" t="inlineStr">
        <is>
          <t>瓜德魯普/Guadeloupe</t>
        </is>
      </c>
    </row>
    <row r="80">
      <c r="G80" s="89" t="inlineStr">
        <is>
          <t>關島/Guam (us)</t>
        </is>
      </c>
    </row>
    <row r="81">
      <c r="G81" s="89" t="inlineStr">
        <is>
          <t>圭亞那/Guyana</t>
        </is>
      </c>
    </row>
    <row r="82">
      <c r="G82" s="89" t="inlineStr">
        <is>
          <t>哈薩克斯坦/Kazakhstan</t>
        </is>
      </c>
    </row>
    <row r="83">
      <c r="G83" s="89" t="inlineStr">
        <is>
          <t>海地/Haiti</t>
        </is>
      </c>
    </row>
    <row r="84">
      <c r="G84" s="89" t="inlineStr">
        <is>
          <t>韓國/Korea</t>
        </is>
      </c>
    </row>
    <row r="85">
      <c r="G85" s="89" t="inlineStr">
        <is>
          <t>荷蘭/Netherland</t>
        </is>
      </c>
    </row>
    <row r="86">
      <c r="G86" s="89" t="inlineStr">
        <is>
          <t>黑山/Montenegro (Rep.)</t>
        </is>
      </c>
    </row>
    <row r="87">
      <c r="G87" s="89" t="inlineStr">
        <is>
          <t>洪都拉斯/Honduras</t>
        </is>
      </c>
    </row>
    <row r="88">
      <c r="G88" s="89" t="inlineStr">
        <is>
          <t>吉布地/Djibouti</t>
        </is>
      </c>
    </row>
    <row r="89">
      <c r="G89" s="89" t="inlineStr">
        <is>
          <t>吉爾吉斯坦/Kyrgyzstan</t>
        </is>
      </c>
    </row>
    <row r="90">
      <c r="G90" s="89" t="inlineStr">
        <is>
          <t>吉里巴斯/Kiribati</t>
        </is>
      </c>
    </row>
    <row r="91">
      <c r="G91" s="89" t="inlineStr">
        <is>
          <t>幾內亞/Guinea</t>
        </is>
      </c>
    </row>
    <row r="92">
      <c r="G92" s="89" t="inlineStr">
        <is>
          <t>幾內亞比索/Guinea-Bissau</t>
        </is>
      </c>
    </row>
    <row r="93">
      <c r="G93" s="89" t="inlineStr">
        <is>
          <t>加拿大/Canada</t>
        </is>
      </c>
    </row>
    <row r="94">
      <c r="G94" s="89" t="inlineStr">
        <is>
          <t>迦納/Ghana</t>
        </is>
      </c>
    </row>
    <row r="95">
      <c r="G95" s="89" t="inlineStr">
        <is>
          <t>加蓬/Gabon</t>
        </is>
      </c>
    </row>
    <row r="96">
      <c r="G96" s="89" t="inlineStr">
        <is>
          <t>柬埔寨/Cambodia</t>
        </is>
      </c>
    </row>
    <row r="97">
      <c r="G97" s="89" t="inlineStr">
        <is>
          <t>捷克/Czech Republic</t>
        </is>
      </c>
      <c r="H97" s="94" t="n"/>
    </row>
    <row r="98">
      <c r="G98" s="89" t="inlineStr">
        <is>
          <t>喀麥隆/Cameroon</t>
        </is>
      </c>
    </row>
    <row r="99">
      <c r="G99" s="89" t="inlineStr">
        <is>
          <t>卡達/Qatar</t>
        </is>
      </c>
    </row>
    <row r="100">
      <c r="G100" s="89" t="inlineStr">
        <is>
          <t>開曼群島/Cayman islands</t>
        </is>
      </c>
    </row>
    <row r="101">
      <c r="G101" s="89" t="inlineStr">
        <is>
          <t>科科斯（基林）島/Cocos (KEELING) Island</t>
        </is>
      </c>
    </row>
    <row r="102">
      <c r="G102" s="95" t="inlineStr">
        <is>
          <t>科克群島/Cook islands (NZ)</t>
        </is>
      </c>
    </row>
    <row r="103">
      <c r="G103" s="89" t="inlineStr">
        <is>
          <t>科摩羅/Comoros</t>
        </is>
      </c>
    </row>
    <row r="104">
      <c r="G104" s="89" t="inlineStr">
        <is>
          <t>科索沃/Kosovo</t>
        </is>
      </c>
    </row>
    <row r="105">
      <c r="G105" s="89" t="inlineStr">
        <is>
          <t>科威特/Kuwait</t>
        </is>
      </c>
    </row>
    <row r="106">
      <c r="G106" s="95" t="inlineStr">
        <is>
          <t>克羅埃西亞/Croatia</t>
        </is>
      </c>
    </row>
    <row r="107">
      <c r="G107" s="89" t="inlineStr">
        <is>
          <t>肯尼亞/Kenya</t>
        </is>
      </c>
    </row>
    <row r="108">
      <c r="G108" s="95" t="inlineStr">
        <is>
          <t>庫拉索島/Curacao</t>
        </is>
      </c>
    </row>
    <row r="109">
      <c r="G109" s="89" t="inlineStr">
        <is>
          <t>拉脫維亞/Latvia</t>
        </is>
      </c>
    </row>
    <row r="110">
      <c r="G110" s="89" t="inlineStr">
        <is>
          <t>賴比瑞亞/Liberia</t>
        </is>
      </c>
    </row>
    <row r="111">
      <c r="G111" s="89" t="inlineStr">
        <is>
          <t>賴索托/Lesotho</t>
        </is>
      </c>
      <c r="H111" s="94" t="n"/>
    </row>
    <row r="112">
      <c r="G112" s="89" t="inlineStr">
        <is>
          <t>老撾/Lao People's Dem. Rep.</t>
        </is>
      </c>
      <c r="H112" s="94" t="n"/>
    </row>
    <row r="113">
      <c r="G113" s="89" t="inlineStr">
        <is>
          <t>黎巴嫩/Lebanon</t>
        </is>
      </c>
      <c r="H113" s="94" t="n"/>
    </row>
    <row r="114">
      <c r="G114" s="89" t="inlineStr">
        <is>
          <t>利比亞/Libyan Jamahiriya</t>
        </is>
      </c>
      <c r="H114" s="94" t="n"/>
    </row>
    <row r="115">
      <c r="G115" s="89" t="inlineStr">
        <is>
          <t>立陶宛/Lithuania</t>
        </is>
      </c>
      <c r="H115" s="94" t="n"/>
    </row>
    <row r="116">
      <c r="G116" s="95" t="inlineStr">
        <is>
          <t>留尼汪（法屬）/Reunion (fr)</t>
        </is>
      </c>
      <c r="H116" s="94" t="n"/>
    </row>
    <row r="117">
      <c r="G117" s="89" t="inlineStr">
        <is>
          <t>盧森堡/Luxembourg</t>
        </is>
      </c>
      <c r="H117" s="94" t="n"/>
    </row>
    <row r="118">
      <c r="G118" s="89" t="inlineStr">
        <is>
          <t>盧旺達/Rwanda</t>
        </is>
      </c>
    </row>
    <row r="119">
      <c r="G119" s="89" t="inlineStr">
        <is>
          <t>羅馬尼亞/Romania</t>
        </is>
      </c>
      <c r="H119" s="94" t="n"/>
    </row>
    <row r="120">
      <c r="G120" s="89" t="inlineStr">
        <is>
          <t>馬達加斯加/Madagascar</t>
        </is>
      </c>
    </row>
    <row r="121">
      <c r="G121" s="89" t="inlineStr">
        <is>
          <t>馬恩島/Isle of Man</t>
        </is>
      </c>
      <c r="I121" s="94" t="n"/>
    </row>
    <row r="122">
      <c r="G122" s="89" t="inlineStr">
        <is>
          <t>馬爾地夫/Maldives</t>
        </is>
      </c>
    </row>
    <row r="123">
      <c r="G123" s="89" t="inlineStr">
        <is>
          <t>馬爾他/Malta</t>
        </is>
      </c>
    </row>
    <row r="124">
      <c r="G124" s="89" t="inlineStr">
        <is>
          <t>馬拉威/Malawi</t>
        </is>
      </c>
    </row>
    <row r="125">
      <c r="G125" s="89" t="inlineStr">
        <is>
          <t>馬來西亞/Malaysia</t>
        </is>
      </c>
    </row>
    <row r="126">
      <c r="G126" s="89" t="inlineStr">
        <is>
          <t>馬里/Mali</t>
        </is>
      </c>
    </row>
    <row r="127">
      <c r="G127" s="89" t="inlineStr">
        <is>
          <t>馬其頓/Macedonia</t>
        </is>
      </c>
    </row>
    <row r="128">
      <c r="G128" s="89" t="inlineStr">
        <is>
          <t>馬紹爾群島/Marshall Islands</t>
        </is>
      </c>
    </row>
    <row r="129">
      <c r="G129" s="89" t="inlineStr">
        <is>
          <t>毛利塔尼亞/Mauritania</t>
        </is>
      </c>
    </row>
    <row r="130">
      <c r="G130" s="89" t="inlineStr">
        <is>
          <t>美國/United States</t>
        </is>
      </c>
      <c r="H130" s="94" t="n"/>
    </row>
    <row r="131">
      <c r="G131" s="89" t="inlineStr">
        <is>
          <t>美國海外領地/US Minor Outlying Islands</t>
        </is>
      </c>
      <c r="H131" s="94" t="n"/>
    </row>
    <row r="132">
      <c r="G132" s="89" t="inlineStr">
        <is>
          <t>美屬薩摩亞群島/American Samoa</t>
        </is>
      </c>
      <c r="H132" s="94" t="n"/>
    </row>
    <row r="133">
      <c r="G133" s="89" t="inlineStr">
        <is>
          <t>蒙古/Mongolia</t>
        </is>
      </c>
      <c r="H133" s="94" t="n"/>
    </row>
    <row r="134">
      <c r="G134" s="89" t="inlineStr">
        <is>
          <t>蒙瑟拉特島島/Montserrat</t>
        </is>
      </c>
      <c r="H134" s="94" t="n"/>
    </row>
    <row r="135">
      <c r="G135" s="89" t="inlineStr">
        <is>
          <t>孟加拉/Bangladesh</t>
        </is>
      </c>
      <c r="H135" s="94" t="n"/>
    </row>
    <row r="136">
      <c r="G136" s="89" t="inlineStr">
        <is>
          <t>密克羅尼西亞聯邦/Micronesia, (Federated States)</t>
        </is>
      </c>
      <c r="H136" s="94" t="n"/>
    </row>
    <row r="137">
      <c r="G137" s="89" t="inlineStr">
        <is>
          <t>秘魯/Peru</t>
        </is>
      </c>
      <c r="H137" s="94" t="n"/>
    </row>
    <row r="138">
      <c r="G138" s="89" t="inlineStr">
        <is>
          <t>緬甸/Myanmar</t>
        </is>
      </c>
      <c r="H138" s="94" t="n"/>
    </row>
    <row r="139">
      <c r="G139" s="89" t="inlineStr">
        <is>
          <t>模里西斯/Mauritius</t>
        </is>
      </c>
      <c r="H139" s="94" t="n"/>
    </row>
    <row r="140">
      <c r="G140" s="89" t="inlineStr">
        <is>
          <t>摩洛哥/Morocco</t>
        </is>
      </c>
      <c r="H140" s="94" t="n"/>
    </row>
    <row r="141">
      <c r="G141" s="89" t="inlineStr">
        <is>
          <t>摩納哥/Monaco</t>
        </is>
      </c>
      <c r="H141" s="94" t="n"/>
    </row>
    <row r="142">
      <c r="G142" s="89" t="inlineStr">
        <is>
          <t>莫爾達瓦/Moldova</t>
        </is>
      </c>
      <c r="H142" s="94" t="n"/>
    </row>
    <row r="143">
      <c r="G143" s="89" t="inlineStr">
        <is>
          <t>莫三比克/Mozambique</t>
        </is>
      </c>
      <c r="H143" s="94" t="n"/>
    </row>
    <row r="144">
      <c r="G144" s="89" t="inlineStr">
        <is>
          <t>墨西哥/Mexico</t>
        </is>
      </c>
      <c r="H144" s="94" t="n"/>
    </row>
    <row r="145">
      <c r="G145" s="89" t="inlineStr">
        <is>
          <t>納米比亞/Namibia</t>
        </is>
      </c>
      <c r="H145" s="94" t="n"/>
    </row>
    <row r="146">
      <c r="G146" s="89" t="inlineStr">
        <is>
          <t>奈及利亞/Nigeria</t>
        </is>
      </c>
      <c r="H146" s="94" t="n"/>
    </row>
    <row r="147">
      <c r="G147" s="89" t="inlineStr">
        <is>
          <t>南非/South Africa</t>
        </is>
      </c>
      <c r="H147" s="94" t="n"/>
    </row>
    <row r="148">
      <c r="G148" s="89" t="inlineStr">
        <is>
          <t>南蘇丹/South Sudan</t>
        </is>
      </c>
      <c r="H148" s="94" t="n"/>
    </row>
    <row r="149">
      <c r="G149" s="89" t="inlineStr">
        <is>
          <t>尼泊爾/Nepal</t>
        </is>
      </c>
      <c r="H149" s="94" t="n"/>
    </row>
    <row r="150">
      <c r="G150" s="89" t="inlineStr">
        <is>
          <t>尼加拉瓜/Nicaragua</t>
        </is>
      </c>
      <c r="H150" s="94" t="n"/>
    </row>
    <row r="151">
      <c r="G151" s="89" t="inlineStr">
        <is>
          <t>尼日爾/Niger</t>
        </is>
      </c>
      <c r="H151" s="94" t="n"/>
    </row>
    <row r="152">
      <c r="G152" s="95" t="inlineStr">
        <is>
          <t>紐西蘭/New Zealand</t>
        </is>
      </c>
      <c r="H152" s="94" t="n"/>
    </row>
    <row r="153">
      <c r="G153" s="89" t="inlineStr">
        <is>
          <t>挪威/Norway</t>
        </is>
      </c>
      <c r="H153" s="94" t="n"/>
    </row>
    <row r="154">
      <c r="G154" s="89" t="inlineStr">
        <is>
          <t>諾福克島/Norfolk Island</t>
        </is>
      </c>
      <c r="H154" s="94" t="n"/>
    </row>
    <row r="155">
      <c r="G155" s="89" t="inlineStr">
        <is>
          <t>諾魯/Nauru</t>
        </is>
      </c>
      <c r="H155" s="94" t="n"/>
    </row>
    <row r="156">
      <c r="G156" s="89" t="inlineStr">
        <is>
          <t>葡萄牙/Portugal</t>
        </is>
      </c>
    </row>
    <row r="157">
      <c r="G157" s="95" t="inlineStr">
        <is>
          <t>千里達和多巴哥/Trinidad and Tobago</t>
        </is>
      </c>
      <c r="H157" s="94" t="n"/>
    </row>
    <row r="158">
      <c r="G158" s="89" t="inlineStr">
        <is>
          <t>日本/Japan</t>
        </is>
      </c>
      <c r="H158" s="94" t="n"/>
    </row>
    <row r="159">
      <c r="G159" s="89" t="inlineStr">
        <is>
          <t>瑞典/Sweden</t>
        </is>
      </c>
      <c r="H159" s="94" t="n"/>
    </row>
    <row r="160">
      <c r="G160" s="89" t="inlineStr">
        <is>
          <t>瑞士/Switzerland</t>
        </is>
      </c>
      <c r="H160" s="94" t="n"/>
    </row>
    <row r="161">
      <c r="G161" s="89" t="inlineStr">
        <is>
          <t>薩爾瓦多/El Salvador</t>
        </is>
      </c>
      <c r="H161" s="94" t="n"/>
    </row>
    <row r="162">
      <c r="G162" s="89" t="inlineStr">
        <is>
          <t>薩摩亞/Samoa</t>
        </is>
      </c>
      <c r="H162" s="94" t="n"/>
    </row>
    <row r="163">
      <c r="G163" s="89" t="inlineStr">
        <is>
          <t>塞爾維亞共和國/Serbia (Rep.)</t>
        </is>
      </c>
    </row>
    <row r="164">
      <c r="G164" s="89" t="inlineStr">
        <is>
          <t>塞內加爾/Senegal</t>
        </is>
      </c>
    </row>
    <row r="165">
      <c r="G165" s="89" t="inlineStr">
        <is>
          <t>賽普勒斯/Cyprus</t>
        </is>
      </c>
      <c r="H165" s="94" t="n"/>
    </row>
    <row r="166">
      <c r="G166" s="89" t="inlineStr">
        <is>
          <t>塞席爾/Seychelles</t>
        </is>
      </c>
      <c r="H166" s="94" t="n"/>
    </row>
    <row r="167">
      <c r="G167" s="89" t="inlineStr">
        <is>
          <t>沙烏地阿拉伯/Saudi Arabia</t>
        </is>
      </c>
      <c r="H167" s="94" t="n"/>
    </row>
    <row r="168">
      <c r="G168" s="95" t="inlineStr">
        <is>
          <t>尚比亞/Zambia</t>
        </is>
      </c>
      <c r="H168" s="94" t="n"/>
    </row>
    <row r="169">
      <c r="G169" s="89" t="inlineStr">
        <is>
          <t>聖巴泰勒米島/Saint Barthelemy</t>
        </is>
      </c>
      <c r="H169" s="94" t="n"/>
    </row>
    <row r="170">
      <c r="G170" s="89" t="inlineStr">
        <is>
          <t>聖誕島/Christmas Island</t>
        </is>
      </c>
      <c r="H170" s="94" t="n"/>
    </row>
    <row r="171">
      <c r="G171" s="89" t="inlineStr">
        <is>
          <t>聖多美及普林西比島/Sao Tome and Principe</t>
        </is>
      </c>
      <c r="H171" s="94" t="n"/>
    </row>
    <row r="172">
      <c r="G172" s="89" t="inlineStr">
        <is>
          <t>聖赫勒拿島/Saint helena</t>
        </is>
      </c>
      <c r="H172" s="94" t="n"/>
    </row>
    <row r="173">
      <c r="G173" s="89" t="inlineStr">
        <is>
          <t>聖基茨和尼維斯/St. Kitts and Nevis</t>
        </is>
      </c>
      <c r="H173" s="94" t="n"/>
    </row>
    <row r="174">
      <c r="G174" s="89" t="inlineStr">
        <is>
          <t>聖露西亞/Saint Lucia</t>
        </is>
      </c>
      <c r="H174" s="94" t="n"/>
    </row>
    <row r="175">
      <c r="G175" s="89" t="inlineStr">
        <is>
          <t>聖馬丁/Saint Martin (FR)</t>
        </is>
      </c>
      <c r="H175" s="94" t="n"/>
    </row>
    <row r="176">
      <c r="G176" s="89" t="inlineStr">
        <is>
          <t>聖馬丁島/St. Maarten</t>
        </is>
      </c>
      <c r="H176" s="94" t="n"/>
    </row>
    <row r="177">
      <c r="G177" s="89" t="inlineStr">
        <is>
          <t>聖馬利諾/San Marino</t>
        </is>
      </c>
      <c r="H177" s="94" t="n"/>
    </row>
    <row r="178">
      <c r="G178" s="89" t="inlineStr">
        <is>
          <t>聖皮爾和密克隆（法屬）/Saint pierre and miquelon (fr)</t>
        </is>
      </c>
      <c r="H178" s="94" t="n"/>
    </row>
    <row r="179">
      <c r="G179" s="89" t="inlineStr">
        <is>
          <t>聖文森特/St. Vincent &amp;amp; Grenadines</t>
        </is>
      </c>
      <c r="H179" s="94" t="n"/>
    </row>
    <row r="180">
      <c r="G180" s="95" t="inlineStr">
        <is>
          <t>獅子山/Sierra Leone</t>
        </is>
      </c>
      <c r="H180" s="94" t="n"/>
    </row>
    <row r="181">
      <c r="G181" s="95" t="inlineStr">
        <is>
          <t>史瓦濟蘭/Swaziland</t>
        </is>
      </c>
      <c r="H181" s="94" t="n"/>
    </row>
    <row r="182">
      <c r="G182" s="89" t="inlineStr">
        <is>
          <t>斯里蘭卡/Sri Lanka</t>
        </is>
      </c>
    </row>
    <row r="183">
      <c r="G183" s="89" t="inlineStr">
        <is>
          <t>斯洛伐克/Slovakia</t>
        </is>
      </c>
    </row>
    <row r="184">
      <c r="G184" s="89" t="inlineStr">
        <is>
          <t>斯洛維尼亞/Slovenia</t>
        </is>
      </c>
      <c r="I184" s="94" t="n"/>
    </row>
    <row r="185">
      <c r="G185" s="89" t="inlineStr">
        <is>
          <t>蘇丹/Sudan</t>
        </is>
      </c>
    </row>
    <row r="186">
      <c r="G186" s="89" t="inlineStr">
        <is>
          <t>蘇利南/Suriname</t>
        </is>
      </c>
      <c r="I186" s="94" t="n"/>
    </row>
    <row r="187">
      <c r="G187" s="89" t="inlineStr">
        <is>
          <t>所羅門群島/Solomon Islands</t>
        </is>
      </c>
      <c r="I187" s="94" t="n"/>
    </row>
    <row r="188">
      <c r="G188" s="89" t="inlineStr">
        <is>
          <t>索馬里/Somalia</t>
        </is>
      </c>
      <c r="I188" s="94" t="n"/>
    </row>
    <row r="189">
      <c r="G189" s="89" t="inlineStr">
        <is>
          <t>塔吉克斯坦/Tajikistan</t>
        </is>
      </c>
      <c r="I189" s="94" t="n"/>
    </row>
    <row r="190">
      <c r="G190" s="89" t="inlineStr">
        <is>
          <t>泰國/Thailand</t>
        </is>
      </c>
      <c r="I190" s="94" t="n"/>
    </row>
    <row r="191">
      <c r="G191" s="89" t="inlineStr">
        <is>
          <t>坦尚尼亞/Tanzania (United Rep.)</t>
        </is>
      </c>
      <c r="I191" s="94" t="n"/>
    </row>
    <row r="192">
      <c r="G192" s="89" t="inlineStr">
        <is>
          <t>特克斯和凱科斯群島（英屬）/Turks and Caicos Islands (gb)</t>
        </is>
      </c>
      <c r="I192" s="94" t="n"/>
    </row>
    <row r="193">
      <c r="G193" s="89" t="inlineStr">
        <is>
          <t>突尼斯/Tunisia</t>
        </is>
      </c>
    </row>
    <row r="194">
      <c r="G194" s="89" t="inlineStr">
        <is>
          <t>圖瓦盧/Tuvalu</t>
        </is>
      </c>
      <c r="I194" s="94" t="n"/>
    </row>
    <row r="195">
      <c r="G195" s="89" t="inlineStr">
        <is>
          <t>土耳其/Turkey</t>
        </is>
      </c>
      <c r="I195" s="94" t="n"/>
    </row>
    <row r="196">
      <c r="G196" s="89" t="inlineStr">
        <is>
          <t>土庫曼斯坦/Turkmenistan</t>
        </is>
      </c>
      <c r="I196" s="94" t="n"/>
    </row>
    <row r="197">
      <c r="G197" s="89" t="inlineStr">
        <is>
          <t>托克勞群島/Tokelau (NZ)</t>
        </is>
      </c>
      <c r="I197" s="94" t="n"/>
    </row>
    <row r="198">
      <c r="G198" s="89" t="inlineStr">
        <is>
          <t>瓦利斯群島和富圖納群島/Wallis and futuna</t>
        </is>
      </c>
      <c r="I198" s="94" t="n"/>
    </row>
    <row r="199">
      <c r="G199" s="89" t="inlineStr">
        <is>
          <t>瓦努阿圖/Vanuatu</t>
        </is>
      </c>
      <c r="I199" s="94" t="n"/>
    </row>
    <row r="200">
      <c r="G200" s="89" t="inlineStr">
        <is>
          <t>危地馬拉/Guatemala</t>
        </is>
      </c>
      <c r="I200" s="94" t="n"/>
    </row>
    <row r="201">
      <c r="G201" s="95" t="inlineStr">
        <is>
          <t>維德角/Cape verde</t>
        </is>
      </c>
      <c r="I201" s="94" t="n"/>
    </row>
    <row r="202">
      <c r="G202" s="89" t="inlineStr">
        <is>
          <t>維爾京群島（美屬）/Virgin Islands, U.S.</t>
        </is>
      </c>
      <c r="I202" s="94" t="n"/>
    </row>
    <row r="203">
      <c r="G203" s="89" t="inlineStr">
        <is>
          <t>維爾京群島（英屬）/Virgin islands, (GB)</t>
        </is>
      </c>
      <c r="I203" s="94" t="n"/>
    </row>
    <row r="204">
      <c r="G204" s="89" t="inlineStr">
        <is>
          <t>委內瑞拉/Venezuela</t>
        </is>
      </c>
      <c r="I204" s="94" t="n"/>
    </row>
    <row r="205">
      <c r="G205" s="89" t="inlineStr">
        <is>
          <t>汶萊/Brunei</t>
        </is>
      </c>
      <c r="I205" s="94" t="n"/>
    </row>
    <row r="206">
      <c r="G206" s="89" t="inlineStr">
        <is>
          <t>烏干達/Uganda</t>
        </is>
      </c>
      <c r="I206" s="94" t="n"/>
    </row>
    <row r="207">
      <c r="G207" s="89" t="inlineStr">
        <is>
          <t>烏克蘭/Ukraine</t>
        </is>
      </c>
      <c r="I207" s="94" t="n"/>
    </row>
    <row r="208">
      <c r="G208" s="89" t="inlineStr">
        <is>
          <t>烏拉圭/Uruguay</t>
        </is>
      </c>
      <c r="I208" s="94" t="n"/>
    </row>
    <row r="209">
      <c r="G209" s="89" t="inlineStr">
        <is>
          <t>烏茲別克斯坦/Uzbekistan</t>
        </is>
      </c>
      <c r="I209" s="94" t="n"/>
    </row>
    <row r="210">
      <c r="G210" s="89" t="inlineStr">
        <is>
          <t>西班牙/Spain</t>
        </is>
      </c>
      <c r="I210" s="94" t="n"/>
    </row>
    <row r="211">
      <c r="G211" s="89" t="inlineStr">
        <is>
          <t>希臘/Greece</t>
        </is>
      </c>
      <c r="I211" s="94" t="n"/>
    </row>
    <row r="212">
      <c r="G212" s="89" t="inlineStr">
        <is>
          <t>西撒哈拉/Western Sahara</t>
        </is>
      </c>
      <c r="I212" s="94" t="n"/>
    </row>
    <row r="213">
      <c r="G213" s="89" t="inlineStr">
        <is>
          <t>夏威夷/Hawaii</t>
        </is>
      </c>
      <c r="I213" s="94" t="n"/>
    </row>
    <row r="214">
      <c r="G214" s="95" t="inlineStr">
        <is>
          <t>象牙海岸（共和國）/Cote d'Ivoire (Rep.)</t>
        </is>
      </c>
      <c r="I214" s="94" t="n"/>
    </row>
    <row r="215">
      <c r="G215" s="95" t="inlineStr">
        <is>
          <t>葉門/Yemen</t>
        </is>
      </c>
      <c r="I215" s="94" t="n"/>
    </row>
    <row r="216">
      <c r="G216" s="95" t="inlineStr">
        <is>
          <t>辛巴威/Zimbabwe</t>
        </is>
      </c>
      <c r="I216" s="94" t="n"/>
    </row>
    <row r="217">
      <c r="G217" s="89" t="inlineStr">
        <is>
          <t>新赫里多尼亞（法屬）/New Caledonia (fr)</t>
        </is>
      </c>
      <c r="I217" s="94" t="n"/>
    </row>
    <row r="218">
      <c r="G218" s="89" t="inlineStr">
        <is>
          <t>新加坡/Singapore</t>
        </is>
      </c>
    </row>
    <row r="219">
      <c r="G219" s="89" t="inlineStr">
        <is>
          <t>匈牙利/Hungary</t>
        </is>
      </c>
      <c r="I219" s="94" t="n"/>
    </row>
    <row r="220">
      <c r="G220" s="89" t="inlineStr">
        <is>
          <t>敘利亞/Syrian Arab Rep.</t>
        </is>
      </c>
      <c r="I220" s="94" t="n"/>
    </row>
    <row r="221">
      <c r="G221" s="89" t="inlineStr">
        <is>
          <t>牙買加/Jamaica</t>
        </is>
      </c>
      <c r="I221" s="94" t="n"/>
    </row>
    <row r="222">
      <c r="G222" s="89" t="inlineStr">
        <is>
          <t>亞美尼亞/Armenia</t>
        </is>
      </c>
      <c r="I222" s="94" t="n"/>
    </row>
    <row r="223">
      <c r="G223" s="95" t="inlineStr">
        <is>
          <t>亞塞拜然/Azerbaijan</t>
        </is>
      </c>
      <c r="I223" s="94" t="n"/>
    </row>
    <row r="224">
      <c r="G224" s="89" t="inlineStr">
        <is>
          <t>伊拉克/Iraq</t>
        </is>
      </c>
      <c r="I224" s="94" t="n"/>
    </row>
    <row r="225">
      <c r="G225" s="89" t="inlineStr">
        <is>
          <t>伊朗/Iran (Islamic Rep.)</t>
        </is>
      </c>
      <c r="I225" s="94" t="n"/>
    </row>
    <row r="226">
      <c r="G226" s="95" t="inlineStr">
        <is>
          <t>衣索比亞/Ethiopia</t>
        </is>
      </c>
      <c r="I226" s="94" t="n"/>
    </row>
    <row r="227">
      <c r="G227" s="89" t="inlineStr">
        <is>
          <t>以色列/Israel</t>
        </is>
      </c>
      <c r="I227" s="94" t="n"/>
    </row>
    <row r="228">
      <c r="G228" s="89" t="inlineStr">
        <is>
          <t>意大利/Italy</t>
        </is>
      </c>
      <c r="I228" s="94" t="n"/>
    </row>
    <row r="229">
      <c r="G229" s="89" t="inlineStr">
        <is>
          <t>印度/India</t>
        </is>
      </c>
      <c r="I229" s="94" t="n"/>
    </row>
    <row r="230">
      <c r="G230" s="89" t="inlineStr">
        <is>
          <t>印尼/Indonesia</t>
        </is>
      </c>
      <c r="I230" s="94" t="n"/>
    </row>
    <row r="231">
      <c r="G231" s="89" t="inlineStr">
        <is>
          <t>英國/Great Britain</t>
        </is>
      </c>
      <c r="I231" s="94" t="n"/>
    </row>
    <row r="232">
      <c r="G232" s="89" t="inlineStr">
        <is>
          <t>英屬印度洋領地/British Indian Ocean Territory</t>
        </is>
      </c>
      <c r="I232" s="94" t="n"/>
    </row>
    <row r="233">
      <c r="G233" s="89" t="inlineStr">
        <is>
          <t>約旦/Jordan</t>
        </is>
      </c>
      <c r="I233" s="94" t="n"/>
    </row>
    <row r="234">
      <c r="G234" s="89" t="inlineStr">
        <is>
          <t>越南/Vietnam</t>
        </is>
      </c>
    </row>
    <row r="235">
      <c r="G235" s="89" t="inlineStr">
        <is>
          <t>澤西島/Jersey</t>
        </is>
      </c>
      <c r="I235" s="94" t="n"/>
    </row>
    <row r="236">
      <c r="G236" s="89" t="inlineStr">
        <is>
          <t>直布羅陀/Gibraltar</t>
        </is>
      </c>
      <c r="I236" s="94" t="n"/>
    </row>
    <row r="237">
      <c r="G237" s="89" t="inlineStr">
        <is>
          <t>智利/Chile</t>
        </is>
      </c>
      <c r="I237" s="94" t="n"/>
    </row>
    <row r="238">
      <c r="G238" s="89" t="inlineStr">
        <is>
          <t>中非共和國/Central African Republic</t>
        </is>
      </c>
      <c r="I238" s="94" t="n"/>
    </row>
    <row r="239">
      <c r="G239" s="89" t="inlineStr">
        <is>
          <t>中國內地/China</t>
        </is>
      </c>
      <c r="I239" s="94" t="n"/>
    </row>
    <row r="240">
      <c r="G240" s="89" t="inlineStr">
        <is>
          <t>中國香港/Hong Kong China</t>
        </is>
      </c>
      <c r="I240" s="94" t="n"/>
    </row>
    <row r="241">
      <c r="G241" s="89" t="inlineStr">
        <is>
          <t>中國澳門/Macao China</t>
        </is>
      </c>
      <c r="I241" s="94" t="n"/>
    </row>
    <row r="242">
      <c r="G242" s="89" t="inlineStr">
        <is>
          <t>中國台灣/Taiwan China</t>
        </is>
      </c>
      <c r="I242" s="94" t="n"/>
    </row>
    <row r="243">
      <c r="I243" s="94" t="n"/>
    </row>
  </sheetData>
  <sheetProtection selectLockedCells="0" selectUnlockedCells="0" sheet="1" objects="1" insertRows="1" insertHyperlinks="1" autoFilter="1" scenarios="0" formatColumns="1" deleteColumns="1" insertColumns="1" pivotTables="1" deleteRows="1" formatCells="1" formatRows="1" sort="1"/>
  <hyperlinks>
    <hyperlink xmlns:r="http://schemas.openxmlformats.org/officeDocument/2006/relationships" ref="N2" display="繁體點擊此查看" r:id="rId1"/>
    <hyperlink xmlns:r="http://schemas.openxmlformats.org/officeDocument/2006/relationships" ref="N3" display="Click here for English" r:id="rId2"/>
    <hyperlink xmlns:r="http://schemas.openxmlformats.org/officeDocument/2006/relationships" ref="N4" display="简体点击此查看" r:id="rId3"/>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BA100"/>
  <sheetViews>
    <sheetView workbookViewId="0">
      <pane xSplit="1" ySplit="2" topLeftCell="B3" activePane="bottomRight" state="frozen"/>
      <selection activeCell="A1" sqref="A1"/>
      <selection pane="topRight" activeCell="A1" sqref="A1"/>
      <selection pane="bottomLeft" activeCell="A1" sqref="A1"/>
      <selection pane="bottomRight" activeCell="A8" sqref="A8"/>
    </sheetView>
  </sheetViews>
  <sheetFormatPr baseColWidth="8" defaultColWidth="9" defaultRowHeight="16.5"/>
  <cols>
    <col width="20.625" customWidth="1" style="91" min="1" max="2"/>
    <col width="15.625" customWidth="1" style="93" min="3" max="3"/>
    <col width="20.625" customWidth="1" style="11" min="4" max="5"/>
    <col width="35.625" customWidth="1" style="91" min="6" max="6"/>
    <col width="20.625" customWidth="1" style="91" min="7" max="9"/>
    <col width="40.625" customWidth="1" style="91" min="10" max="10"/>
    <col width="20.625" customWidth="1" style="91" min="11" max="11"/>
    <col width="15.625" customWidth="1" style="93" min="12" max="12"/>
    <col width="20.625" customWidth="1" style="11" min="13" max="14"/>
    <col width="35.625" customWidth="1" style="91" min="15" max="15"/>
    <col width="18.625" customWidth="1" style="91" min="16" max="16"/>
    <col width="20.625" customWidth="1" style="89" min="17" max="17"/>
    <col width="25.625" customWidth="1" style="91" min="18" max="18"/>
    <col width="20.625" customWidth="1" style="91" min="19" max="19"/>
    <col width="40.625" customWidth="1" style="91" min="20" max="20"/>
    <col width="30.625" customWidth="1" style="89" min="21" max="21"/>
    <col width="20.625" customWidth="1" style="93" min="22" max="22"/>
    <col width="25.625" customWidth="1" style="89" min="23" max="23"/>
    <col width="15.625" customWidth="1" style="93" min="24" max="25"/>
    <col width="15.625" customWidth="1" style="89" min="26" max="26"/>
    <col width="15.625" customWidth="1" style="93" min="27" max="27"/>
    <col width="15.625" customWidth="1" style="89" min="28" max="28"/>
    <col width="25.625" customWidth="1" style="89" min="29" max="29"/>
    <col width="24.625" customWidth="1" style="93" min="30" max="30"/>
    <col width="35.625" customWidth="1" style="93" min="31" max="31"/>
    <col width="40.625" customWidth="1" style="91" min="32" max="32"/>
    <col width="40.625" customWidth="1" style="89" min="33" max="33"/>
    <col width="30.625" customWidth="1" style="89" min="34" max="35"/>
    <col width="35.625" customWidth="1" style="93" min="36" max="36"/>
    <col width="24.625" customWidth="1" style="136" min="37" max="37"/>
    <col width="24.625" customWidth="1" style="139" min="38" max="38"/>
    <col width="40.625" customWidth="1" style="89" min="39" max="39"/>
    <col width="24.625" customWidth="1" style="93" min="40" max="40"/>
    <col width="20.625" customWidth="1" style="89" min="41" max="41"/>
    <col width="25.625" customWidth="1" style="89" min="42" max="42"/>
    <col width="20.625" customWidth="1" style="89" min="43" max="43"/>
    <col width="20.625" customWidth="1" style="93" min="44" max="44"/>
    <col width="24.625" customWidth="1" style="93" min="45" max="45"/>
    <col width="50.625" customWidth="1" style="89" min="46" max="46"/>
    <col width="20.625" customWidth="1" style="93" min="47" max="47"/>
    <col width="20.625" customWidth="1" style="15" min="48" max="48"/>
    <col width="40.625" customWidth="1" style="15" min="49" max="49"/>
    <col width="30.625" customWidth="1" style="15" min="50" max="50"/>
    <col width="30.625" customWidth="1" style="16" min="51" max="51"/>
    <col width="24.625" customWidth="1" style="16" min="52" max="52"/>
    <col width="18.625" customWidth="1" style="15" min="53" max="53"/>
    <col width="9" customWidth="1" style="89" min="54" max="16384"/>
  </cols>
  <sheetData>
    <row r="1" ht="36" customFormat="1" customHeight="1" s="8">
      <c r="A1" s="17" t="n"/>
      <c r="B1" s="126" t="inlineStr">
        <is>
          <t>寄件方信息
Sender Information</t>
        </is>
      </c>
      <c r="C1" s="127" t="n"/>
      <c r="D1" s="127" t="n"/>
      <c r="E1" s="127" t="n"/>
      <c r="F1" s="127" t="n"/>
      <c r="G1" s="127" t="n"/>
      <c r="H1" s="127" t="n"/>
      <c r="I1" s="127" t="n"/>
      <c r="J1" s="128" t="n"/>
      <c r="K1" s="129" t="inlineStr">
        <is>
          <t>收件方信息
Receiver Information</t>
        </is>
      </c>
      <c r="L1" s="127" t="n"/>
      <c r="M1" s="127" t="n"/>
      <c r="N1" s="127" t="n"/>
      <c r="O1" s="127" t="n"/>
      <c r="P1" s="127" t="n"/>
      <c r="Q1" s="127" t="n"/>
      <c r="R1" s="127" t="n"/>
      <c r="S1" s="127" t="n"/>
      <c r="T1" s="127" t="n"/>
      <c r="U1" s="127" t="n"/>
      <c r="V1" s="128" t="n"/>
      <c r="W1" s="130" t="inlineStr">
        <is>
          <t>托寄物信息
Consignment Information</t>
        </is>
      </c>
      <c r="X1" s="127" t="n"/>
      <c r="Y1" s="127" t="n"/>
      <c r="Z1" s="127" t="n"/>
      <c r="AA1" s="127" t="n"/>
      <c r="AB1" s="127" t="n"/>
      <c r="AC1" s="128" t="n"/>
      <c r="AD1" s="45" t="inlineStr">
        <is>
          <t>包裹信息
Parcel Information</t>
        </is>
      </c>
      <c r="AE1" s="127" t="n"/>
      <c r="AF1" s="127" t="n"/>
      <c r="AG1" s="61" t="inlineStr">
        <is>
          <t>產品信息
Product Information</t>
        </is>
      </c>
      <c r="AH1" s="61" t="inlineStr">
        <is>
          <t>付款方式
Payment Method</t>
        </is>
      </c>
      <c r="AI1" s="127" t="n"/>
      <c r="AJ1" s="128" t="n"/>
      <c r="AK1" s="131" t="inlineStr">
        <is>
          <t>預約上門收件
Expected Parcel Pick-up</t>
        </is>
      </c>
      <c r="AL1" s="128" t="n"/>
      <c r="AM1" s="67" t="n"/>
      <c r="AN1" s="132" t="inlineStr">
        <is>
          <t>增值服務
V.A.S.</t>
        </is>
      </c>
      <c r="AO1" s="127" t="n"/>
      <c r="AP1" s="127" t="n"/>
      <c r="AQ1" s="127" t="n"/>
      <c r="AR1" s="127" t="n"/>
      <c r="AS1" s="127" t="n"/>
      <c r="AT1" s="127" t="n"/>
      <c r="AU1" s="127" t="n"/>
      <c r="AV1" s="127" t="n"/>
      <c r="AW1" s="127" t="n"/>
      <c r="AX1" s="127" t="n"/>
      <c r="AY1" s="127" t="n"/>
      <c r="AZ1" s="128" t="n"/>
      <c r="BA1" s="82" t="n"/>
    </row>
    <row r="2" ht="53" customFormat="1" customHeight="1" s="89">
      <c r="A2" s="22" t="inlineStr">
        <is>
          <t>客戶訂單編號
Customer Order I.D.</t>
        </is>
      </c>
      <c r="B2" s="23" t="inlineStr">
        <is>
          <t>* 姓名
Full Name</t>
        </is>
      </c>
      <c r="C2" s="24" t="inlineStr">
        <is>
          <t>* 電話區號
Area Code</t>
        </is>
      </c>
      <c r="D2" s="25" t="inlineStr">
        <is>
          <t>手機號碼
Mobile No.</t>
        </is>
      </c>
      <c r="E2" s="25" t="inlineStr">
        <is>
          <t>固網號碼
Fixed No.</t>
        </is>
      </c>
      <c r="F2" s="26" t="inlineStr">
        <is>
          <t>公司名稱
Company</t>
        </is>
      </c>
      <c r="G2" s="27" t="inlineStr">
        <is>
          <t>* 城市
City</t>
        </is>
      </c>
      <c r="H2" s="27" t="inlineStr">
        <is>
          <t>* 地區
District</t>
        </is>
      </c>
      <c r="I2" s="27" t="inlineStr">
        <is>
          <t>* 區域
Area</t>
        </is>
      </c>
      <c r="J2" s="36" t="inlineStr">
        <is>
          <t>* 詳細地址
Detail Address</t>
        </is>
      </c>
      <c r="K2" s="37" t="inlineStr">
        <is>
          <t>* 姓名
Full Name</t>
        </is>
      </c>
      <c r="L2" s="38" t="inlineStr">
        <is>
          <t>* 電話區號
Area Code</t>
        </is>
      </c>
      <c r="M2" s="39" t="inlineStr">
        <is>
          <t>手機號碼
Mobile No.</t>
        </is>
      </c>
      <c r="N2" s="39" t="inlineStr">
        <is>
          <t>固網號碼
Fixed No.</t>
        </is>
      </c>
      <c r="O2" s="41" t="inlineStr">
        <is>
          <t>公司名稱
Company</t>
        </is>
      </c>
      <c r="P2" s="41" t="inlineStr">
        <is>
          <t>自取點編號
Self Pick-up Point</t>
        </is>
      </c>
      <c r="Q2" s="41" t="inlineStr">
        <is>
          <t>省份 / 城市
Province / City</t>
        </is>
      </c>
      <c r="R2" s="41" t="inlineStr">
        <is>
          <t>市 / 縣 / 地區
City / County / District</t>
        </is>
      </c>
      <c r="S2" s="41" t="inlineStr">
        <is>
          <t>區 / 區域
District / Area</t>
        </is>
      </c>
      <c r="T2" s="41" t="inlineStr">
        <is>
          <t>詳細地址
Detail Address</t>
        </is>
      </c>
      <c r="U2" s="41" t="inlineStr">
        <is>
          <t>證件類型
I.D. Type</t>
        </is>
      </c>
      <c r="V2" s="47" t="inlineStr">
        <is>
          <t>證件號碼
I.D. No.</t>
        </is>
      </c>
      <c r="W2" s="48" t="inlineStr">
        <is>
          <t>* 物品名稱 / 類型
Item Name</t>
        </is>
      </c>
      <c r="X2" s="49" t="inlineStr">
        <is>
          <t>* 重量（KG）
Weight (KG)</t>
        </is>
      </c>
      <c r="Y2" s="56" t="inlineStr">
        <is>
          <t>數量
Quantity</t>
        </is>
      </c>
      <c r="Z2" s="57" t="inlineStr">
        <is>
          <t>單位
Unit</t>
        </is>
      </c>
      <c r="AA2" s="56" t="inlineStr">
        <is>
          <t>物品單價
Value</t>
        </is>
      </c>
      <c r="AB2" s="57" t="inlineStr">
        <is>
          <t>幣種
Currency</t>
        </is>
      </c>
      <c r="AC2" s="58" t="inlineStr">
        <is>
          <t>原產地
Origin</t>
        </is>
      </c>
      <c r="AD2" s="59" t="inlineStr">
        <is>
          <t>* 包裹總重量（KG）
Total Weight (KG)</t>
        </is>
      </c>
      <c r="AE2" s="49" t="inlineStr">
        <is>
          <t>* 包裹數量（子母件數量）
Parcel Quantity (num. of multi-piece shipments)</t>
        </is>
      </c>
      <c r="AF2" s="60" t="inlineStr">
        <is>
          <t>包裹備註
Parcel Notes</t>
        </is>
      </c>
      <c r="AG2" s="69" t="inlineStr">
        <is>
          <t>* 產品類型
Product Type</t>
        </is>
      </c>
      <c r="AH2" s="70" t="inlineStr">
        <is>
          <t>* 付款方式
Payment Method</t>
        </is>
      </c>
      <c r="AI2" s="71" t="inlineStr">
        <is>
          <t>稅金付款方式
Duties and Taxes</t>
        </is>
      </c>
      <c r="AJ2" s="72" t="inlineStr">
        <is>
          <t>稅金付款帳號
Bill Account for Duties and Taxes</t>
        </is>
      </c>
      <c r="AK2" s="133" t="inlineStr">
        <is>
          <t>日期（年-月-日）
Date (YYYY-MM-DD)</t>
        </is>
      </c>
      <c r="AL2" s="134" t="inlineStr">
        <is>
          <t>時間（時:分）
Time (HH:MM)</t>
        </is>
      </c>
      <c r="AM2" s="75" t="inlineStr">
        <is>
          <t>備註
Remark</t>
        </is>
      </c>
      <c r="AN2" s="76" t="inlineStr">
        <is>
          <t>保價-物品價值（HKD）
Insurance（HKD）</t>
        </is>
      </c>
      <c r="AO2" s="78" t="inlineStr">
        <is>
          <t>PoD 簽單返還
PoD</t>
        </is>
      </c>
      <c r="AP2" s="78" t="inlineStr">
        <is>
          <t>PoD 備註
PoD - Remark</t>
        </is>
      </c>
      <c r="AQ2" s="78" t="inlineStr">
        <is>
          <t>密碼認證
Secret Key</t>
        </is>
      </c>
      <c r="AR2" s="79" t="inlineStr">
        <is>
          <t>CoD 代收貨款
CoD - Amount</t>
        </is>
      </c>
      <c r="AS2" s="79" t="inlineStr">
        <is>
          <t>CoD 代收貨款 - 月結號
CoD - Credit A/C No.</t>
        </is>
      </c>
      <c r="AT2" s="80" t="inlineStr">
        <is>
          <t>送貨方式
Delivery method</t>
        </is>
      </c>
      <c r="AU2" s="79" t="inlineStr">
        <is>
          <t>送貨上樓 - 行樓梯層數
Upstairs Delivery - Floor level</t>
        </is>
      </c>
      <c r="AV2" s="80" t="inlineStr">
        <is>
          <t>心意送 - 賀卡
Surprise Delivery - Greeting e-cards</t>
        </is>
      </c>
      <c r="AW2" s="80" t="inlineStr">
        <is>
          <t>心意送 - 賀卡祝福語
Surprise Delivery - Greeting message</t>
        </is>
      </c>
      <c r="AX2" s="80" t="inlineStr">
        <is>
          <t>心意送 - 賀卡署名
Surprise Delivery - Signature</t>
        </is>
      </c>
      <c r="AY2" s="79" t="inlineStr">
        <is>
          <t>定時派送 - 日期（年-月-日）
Fixed Time Delivery - Date (YYYY-MM-DD)</t>
        </is>
      </c>
      <c r="AZ2" s="83" t="inlineStr">
        <is>
          <t>定時派送 - 時間（時:分）
Fixed Time Delivery - Time (HH:MM)</t>
        </is>
      </c>
      <c r="BA2" s="84" t="inlineStr">
        <is>
          <t>收件校驗碼
Recipient Verification Code</t>
        </is>
      </c>
    </row>
    <row r="3" customFormat="1" s="89">
      <c r="A3" s="91" t="inlineStr">
        <is>
          <t>A</t>
        </is>
      </c>
      <c r="B3" s="91" t="inlineStr">
        <is>
          <t>Mary Lam</t>
        </is>
      </c>
      <c r="C3" s="93" t="n">
        <v>852</v>
      </c>
      <c r="D3" s="93" t="n">
        <v>88880000</v>
      </c>
      <c r="E3" s="93" t="n">
        <v>29292929</v>
      </c>
      <c r="F3" s="91" t="inlineStr">
        <is>
          <t>SF Express A</t>
        </is>
      </c>
      <c r="G3" s="91" t="inlineStr">
        <is>
          <t>香港/Hong Kong</t>
        </is>
      </c>
      <c r="H3" s="91" t="inlineStr">
        <is>
          <t>葵青區</t>
        </is>
      </c>
      <c r="I3" s="91" t="inlineStr">
        <is>
          <t>青衣</t>
        </is>
      </c>
      <c r="J3" s="91" t="inlineStr">
        <is>
          <t>航運路36號亞洲物流中心9樓</t>
        </is>
      </c>
      <c r="K3" s="91" t="inlineStr">
        <is>
          <t>林順豐</t>
        </is>
      </c>
      <c r="L3" s="93" t="n">
        <v>852</v>
      </c>
      <c r="M3" s="93" t="n">
        <v>88880000</v>
      </c>
      <c r="N3" s="93" t="n">
        <v>27300273</v>
      </c>
      <c r="O3" s="91" t="inlineStr">
        <is>
          <t>SF Express B</t>
        </is>
      </c>
      <c r="P3" s="140" t="n"/>
      <c r="Q3" s="50" t="inlineStr">
        <is>
          <t>香港</t>
        </is>
      </c>
      <c r="R3" s="91" t="inlineStr">
        <is>
          <t>大埔區</t>
        </is>
      </c>
      <c r="S3" s="91" t="inlineStr">
        <is>
          <t>大埔</t>
        </is>
      </c>
      <c r="T3" s="91" t="inlineStr">
        <is>
          <t>平安里10號華安樓5樓C座</t>
        </is>
      </c>
      <c r="V3" s="93" t="n"/>
      <c r="W3" s="89" t="inlineStr">
        <is>
          <t>公仔衫</t>
        </is>
      </c>
      <c r="X3" s="93" t="n">
        <v>1.11</v>
      </c>
      <c r="Y3" s="93" t="n"/>
      <c r="AA3" s="93" t="n"/>
      <c r="AD3" s="93" t="n">
        <v>1.11</v>
      </c>
      <c r="AE3" s="93" t="n">
        <v>1</v>
      </c>
      <c r="AF3" s="91" t="n"/>
      <c r="AG3" s="89" t="inlineStr">
        <is>
          <t>順豐特快/SF Speedy Express</t>
        </is>
      </c>
      <c r="AH3" s="89" t="inlineStr">
        <is>
          <t>寄付現結/Pay by Sender</t>
        </is>
      </c>
      <c r="AJ3" s="93" t="n"/>
      <c r="AK3" s="136" t="n">
        <v>46032</v>
      </c>
      <c r="AL3" s="139" t="n">
        <v>0.5833333333333334</v>
      </c>
      <c r="AN3" s="93" t="n">
        <v>10</v>
      </c>
      <c r="AO3" s="89" t="inlineStr">
        <is>
          <t>1,4</t>
        </is>
      </c>
      <c r="AP3" s="89" t="inlineStr">
        <is>
          <t>請用新公司印</t>
        </is>
      </c>
      <c r="AQ3" s="89" t="inlineStr">
        <is>
          <t>需要/Need</t>
        </is>
      </c>
      <c r="AR3" s="93" t="n">
        <v>100</v>
      </c>
      <c r="AS3" s="93" t="n">
        <v>8520000888</v>
      </c>
      <c r="AU3" s="93" t="n"/>
      <c r="AV3" s="15" t="inlineStr">
        <is>
          <t>HK001</t>
        </is>
      </c>
      <c r="AW3" s="15" t="inlineStr">
        <is>
          <t>1_希望你喜歡這份禮物！</t>
        </is>
      </c>
      <c r="AX3" s="15" t="inlineStr">
        <is>
          <t>笑臉樣式/Smiley face style_3</t>
        </is>
      </c>
      <c r="AY3" s="141" t="n">
        <v>46068</v>
      </c>
      <c r="AZ3" s="86" t="n">
        <v>0.4166666666666667</v>
      </c>
      <c r="BA3" s="15" t="n"/>
    </row>
    <row r="4" customFormat="1" s="89">
      <c r="A4" s="91" t="inlineStr">
        <is>
          <t>B</t>
        </is>
      </c>
      <c r="B4" s="91" t="inlineStr">
        <is>
          <t>Mary Lam</t>
        </is>
      </c>
      <c r="C4" s="93" t="n">
        <v>852</v>
      </c>
      <c r="D4" s="93" t="n">
        <v>88880000</v>
      </c>
      <c r="E4" s="93" t="n">
        <v>29292929</v>
      </c>
      <c r="F4" s="91" t="inlineStr">
        <is>
          <t>SF Express A</t>
        </is>
      </c>
      <c r="G4" s="91" t="inlineStr">
        <is>
          <t>香港/Hong Kong</t>
        </is>
      </c>
      <c r="H4" s="91" t="inlineStr">
        <is>
          <t>葵青區</t>
        </is>
      </c>
      <c r="I4" s="91" t="inlineStr">
        <is>
          <t>青衣</t>
        </is>
      </c>
      <c r="J4" s="91" t="inlineStr">
        <is>
          <t>航運路36號亞洲物流中心9樓</t>
        </is>
      </c>
      <c r="K4" s="91" t="inlineStr">
        <is>
          <t>林順豐</t>
        </is>
      </c>
      <c r="L4" s="93" t="n">
        <v>853</v>
      </c>
      <c r="M4" s="93" t="n">
        <v>68888000</v>
      </c>
      <c r="N4" s="93" t="n">
        <v>28000888</v>
      </c>
      <c r="O4" s="91" t="inlineStr">
        <is>
          <t>SF Express B</t>
        </is>
      </c>
      <c r="P4" s="140" t="inlineStr">
        <is>
          <t>853A1003</t>
        </is>
      </c>
      <c r="Q4" s="51" t="n"/>
      <c r="R4" s="91" t="n"/>
      <c r="S4" s="91" t="n"/>
      <c r="T4" s="91" t="n"/>
      <c r="V4" s="93" t="n"/>
      <c r="W4" s="89" t="inlineStr">
        <is>
          <t>公仔衫</t>
        </is>
      </c>
      <c r="X4" s="93" t="n">
        <v>1.11</v>
      </c>
      <c r="Y4" s="93" t="n">
        <v>1</v>
      </c>
      <c r="Z4" s="89" t="inlineStr">
        <is>
          <t>件/piece</t>
        </is>
      </c>
      <c r="AA4" s="93" t="n">
        <v>100</v>
      </c>
      <c r="AB4" s="89" t="inlineStr">
        <is>
          <t>港元/HKD</t>
        </is>
      </c>
      <c r="AC4" s="89" t="inlineStr">
        <is>
          <t>中國香港/Hong Kong China</t>
        </is>
      </c>
      <c r="AD4" s="93" t="n">
        <v>2.22</v>
      </c>
      <c r="AE4" s="93" t="n">
        <v>2</v>
      </c>
      <c r="AF4" s="91" t="inlineStr">
        <is>
          <t>主單備註：睡衣款公仔衫+次單1備註：安睡毛公仔</t>
        </is>
      </c>
      <c r="AG4" s="89" t="inlineStr">
        <is>
          <t>順豐特快/SF Speedy Express</t>
        </is>
      </c>
      <c r="AH4" s="89" t="inlineStr">
        <is>
          <t>寄付月結/Pay by Sender (Credit Account)</t>
        </is>
      </c>
      <c r="AI4" s="89" t="inlineStr">
        <is>
          <t>到付/Pay by Recipient</t>
        </is>
      </c>
      <c r="AJ4" s="93" t="n"/>
      <c r="AK4" s="136" t="n"/>
      <c r="AL4" s="139" t="n"/>
      <c r="AN4" s="93" t="n"/>
      <c r="AR4" s="93" t="n"/>
      <c r="AS4" s="93" t="n"/>
      <c r="AU4" s="93" t="n"/>
      <c r="AV4" s="15" t="inlineStr">
        <is>
          <t>HK001</t>
        </is>
      </c>
      <c r="AW4" s="15" t="inlineStr">
        <is>
          <t>2_親愛的，愛你哦~</t>
        </is>
      </c>
      <c r="AX4" s="15" t="inlineStr">
        <is>
          <t>心形樣式/Heart-shaped style_2</t>
        </is>
      </c>
      <c r="AY4" s="87" t="n"/>
      <c r="AZ4" s="86" t="n"/>
      <c r="BA4" s="15" t="n"/>
    </row>
    <row r="5" customFormat="1" s="89">
      <c r="A5" s="91" t="inlineStr">
        <is>
          <t>B</t>
        </is>
      </c>
      <c r="B5" s="91" t="n"/>
      <c r="C5" s="93" t="n"/>
      <c r="D5" s="11" t="n"/>
      <c r="E5" s="11" t="n"/>
      <c r="F5" s="91" t="n"/>
      <c r="G5" s="91" t="n"/>
      <c r="H5" s="91" t="n"/>
      <c r="I5" s="91" t="n"/>
      <c r="J5" s="91" t="n"/>
      <c r="K5" s="91" t="n"/>
      <c r="L5" s="93" t="n"/>
      <c r="M5" s="11" t="n"/>
      <c r="N5" s="11" t="n"/>
      <c r="O5" s="91" t="n"/>
      <c r="P5" s="140" t="n"/>
      <c r="R5" s="91" t="n"/>
      <c r="S5" s="91" t="n"/>
      <c r="T5" s="91" t="n"/>
      <c r="V5" s="93" t="n"/>
      <c r="W5" s="89" t="inlineStr">
        <is>
          <t>毛公仔</t>
        </is>
      </c>
      <c r="X5" s="93" t="n">
        <v>1.11</v>
      </c>
      <c r="Y5" s="93" t="n">
        <v>1</v>
      </c>
      <c r="Z5" s="89" t="inlineStr">
        <is>
          <t>個</t>
        </is>
      </c>
      <c r="AA5" s="93" t="n">
        <v>100</v>
      </c>
      <c r="AB5" s="89" t="inlineStr">
        <is>
          <t>港元/HKD</t>
        </is>
      </c>
      <c r="AC5" s="89" t="inlineStr">
        <is>
          <t>中國香港/Hong Kong China</t>
        </is>
      </c>
      <c r="AD5" s="93" t="n"/>
      <c r="AE5" s="93" t="n"/>
      <c r="AF5" s="91" t="n"/>
      <c r="AJ5" s="93" t="n"/>
      <c r="AK5" s="136" t="n"/>
      <c r="AL5" s="139" t="n"/>
      <c r="AN5" s="93" t="n"/>
      <c r="AR5" s="93" t="n"/>
      <c r="AS5" s="93" t="n"/>
      <c r="AU5" s="93" t="n"/>
      <c r="AV5" s="15" t="n"/>
      <c r="AW5" s="15" t="n"/>
      <c r="AX5" s="15" t="n"/>
      <c r="AY5" s="16" t="n"/>
      <c r="AZ5" s="16" t="n"/>
      <c r="BA5" s="15" t="n"/>
    </row>
    <row r="6" customFormat="1" s="89">
      <c r="A6" s="91" t="inlineStr">
        <is>
          <t>C</t>
        </is>
      </c>
      <c r="B6" s="91" t="inlineStr">
        <is>
          <t>Mary Lam</t>
        </is>
      </c>
      <c r="C6" s="93" t="n">
        <v>852</v>
      </c>
      <c r="D6" s="93" t="n">
        <v>88880000</v>
      </c>
      <c r="E6" s="93" t="n">
        <v>29292929</v>
      </c>
      <c r="F6" s="91" t="inlineStr">
        <is>
          <t>SF Express A</t>
        </is>
      </c>
      <c r="G6" s="91" t="inlineStr">
        <is>
          <t>香港/Hong Kong</t>
        </is>
      </c>
      <c r="H6" s="91" t="inlineStr">
        <is>
          <t>Kwai Tsing District</t>
        </is>
      </c>
      <c r="I6" s="91" t="inlineStr">
        <is>
          <t>Tsing Yi</t>
        </is>
      </c>
      <c r="J6" s="91" t="inlineStr">
        <is>
          <t>9th Floor, Asia Logistics Center, No. 36, Shipping Road.</t>
        </is>
      </c>
      <c r="K6" s="91" t="inlineStr">
        <is>
          <t>林順豐</t>
        </is>
      </c>
      <c r="L6" s="93" t="n">
        <v>86</v>
      </c>
      <c r="M6" s="93" t="n">
        <v>13888880000</v>
      </c>
      <c r="N6" s="93" t="n">
        <v>38008800</v>
      </c>
      <c r="O6" s="91" t="inlineStr">
        <is>
          <t>SF Express B</t>
        </is>
      </c>
      <c r="P6" s="140" t="n"/>
      <c r="Q6" s="89" t="inlineStr">
        <is>
          <t>廣東省</t>
        </is>
      </c>
      <c r="R6" s="91" t="inlineStr">
        <is>
          <t>深圳市</t>
        </is>
      </c>
      <c r="S6" s="91" t="inlineStr">
        <is>
          <t>南山區</t>
        </is>
      </c>
      <c r="T6" s="91" t="inlineStr">
        <is>
          <t>XXXXXXXXXXX</t>
        </is>
      </c>
      <c r="V6" s="93" t="n"/>
      <c r="W6" s="89" t="inlineStr">
        <is>
          <t>T-shirt</t>
        </is>
      </c>
      <c r="X6" s="93" t="n">
        <v>1.11</v>
      </c>
      <c r="Y6" s="93" t="n">
        <v>1</v>
      </c>
      <c r="Z6" s="89" t="inlineStr">
        <is>
          <t>件/piece</t>
        </is>
      </c>
      <c r="AA6" s="93" t="n">
        <v>100</v>
      </c>
      <c r="AB6" s="89" t="inlineStr">
        <is>
          <t>港元/HKD</t>
        </is>
      </c>
      <c r="AC6" s="89" t="inlineStr">
        <is>
          <t>中國香港/Hong Kong China</t>
        </is>
      </c>
      <c r="AD6" s="93" t="n">
        <v>1.11</v>
      </c>
      <c r="AE6" s="93" t="n">
        <v>1</v>
      </c>
      <c r="AF6" s="91" t="n"/>
      <c r="AG6" s="89" t="inlineStr">
        <is>
          <t>順豐特快/SF Speedy Express</t>
        </is>
      </c>
      <c r="AH6" s="89" t="inlineStr">
        <is>
          <t>寄付月結/Pay by Sender (Credit Account)</t>
        </is>
      </c>
      <c r="AI6" s="89" t="inlineStr">
        <is>
          <t>寄付月結/Pay by Sender (Credit Account)</t>
        </is>
      </c>
      <c r="AJ6" s="93" t="n">
        <v>8520000888</v>
      </c>
      <c r="AK6" s="136" t="n"/>
      <c r="AL6" s="139" t="n"/>
      <c r="AN6" s="93" t="n"/>
      <c r="AR6" s="93" t="n"/>
      <c r="AS6" s="93" t="n"/>
      <c r="AU6" s="93" t="n"/>
      <c r="AV6" s="15" t="inlineStr">
        <is>
          <t>No card</t>
        </is>
      </c>
      <c r="AW6" s="15" t="n"/>
      <c r="AX6" s="15" t="n"/>
      <c r="AY6" s="141" t="n">
        <v>46068</v>
      </c>
      <c r="AZ6" s="86" t="n">
        <v>0.4166666666666667</v>
      </c>
      <c r="BA6" s="15" t="n"/>
    </row>
    <row r="7" customFormat="1" s="89">
      <c r="A7" s="91" t="inlineStr">
        <is>
          <t>D</t>
        </is>
      </c>
      <c r="B7" s="91" t="inlineStr">
        <is>
          <t>Mary Lam</t>
        </is>
      </c>
      <c r="C7" s="93" t="n">
        <v>852</v>
      </c>
      <c r="D7" s="93" t="n">
        <v>88880000</v>
      </c>
      <c r="E7" s="93" t="n">
        <v>29292929</v>
      </c>
      <c r="F7" s="91" t="inlineStr">
        <is>
          <t>SF Express A</t>
        </is>
      </c>
      <c r="G7" s="91" t="inlineStr">
        <is>
          <t>香港/Hong Kong</t>
        </is>
      </c>
      <c r="H7" s="91" t="inlineStr">
        <is>
          <t>Kwai Tsing District</t>
        </is>
      </c>
      <c r="I7" s="91" t="inlineStr">
        <is>
          <t>Tsing Yi</t>
        </is>
      </c>
      <c r="J7" s="91" t="inlineStr">
        <is>
          <t>9th Floor, Asia Logistics Center, No. 36, Shipping Road.</t>
        </is>
      </c>
      <c r="K7" s="91" t="inlineStr">
        <is>
          <t>林順豐</t>
        </is>
      </c>
      <c r="L7" s="93" t="n">
        <v>886</v>
      </c>
      <c r="M7" s="122" t="inlineStr">
        <is>
          <t>0937888000</t>
        </is>
      </c>
      <c r="N7" s="93" t="n">
        <v>87118080</v>
      </c>
      <c r="O7" s="91" t="n"/>
      <c r="P7" s="140" t="n"/>
      <c r="Q7" s="89" t="inlineStr">
        <is>
          <t>台灣</t>
        </is>
      </c>
      <c r="R7" s="91" t="inlineStr">
        <is>
          <t>台北市</t>
        </is>
      </c>
      <c r="S7" s="91" t="inlineStr">
        <is>
          <t>大安區</t>
        </is>
      </c>
      <c r="T7" s="91" t="inlineStr">
        <is>
          <t>XXXXXXXXXXX</t>
        </is>
      </c>
      <c r="U7" s="89" t="inlineStr">
        <is>
          <t>台灣身份證/Taiwan I.D. Card</t>
        </is>
      </c>
      <c r="V7" s="93" t="inlineStr">
        <is>
          <t>A199001011</t>
        </is>
      </c>
      <c r="W7" s="89" t="inlineStr">
        <is>
          <t>T-shirt</t>
        </is>
      </c>
      <c r="X7" s="93" t="n">
        <v>1.11</v>
      </c>
      <c r="Y7" s="93" t="n">
        <v>1</v>
      </c>
      <c r="Z7" s="89" t="inlineStr">
        <is>
          <t>件/piece</t>
        </is>
      </c>
      <c r="AA7" s="93" t="n">
        <v>100</v>
      </c>
      <c r="AB7" s="89" t="inlineStr">
        <is>
          <t>港元/HKD</t>
        </is>
      </c>
      <c r="AC7" s="89" t="inlineStr">
        <is>
          <t>中國香港/Hong Kong China</t>
        </is>
      </c>
      <c r="AD7" s="93" t="n">
        <v>1.11</v>
      </c>
      <c r="AE7" s="93" t="n">
        <v>1</v>
      </c>
      <c r="AF7" s="91" t="n"/>
      <c r="AG7" s="89" t="inlineStr">
        <is>
          <t>順豐特快/SF Speedy Express</t>
        </is>
      </c>
      <c r="AH7" s="89" t="inlineStr">
        <is>
          <t>到付/Pay by Recipient</t>
        </is>
      </c>
      <c r="AI7" s="89" t="inlineStr">
        <is>
          <t>到付/Pay by Recipient</t>
        </is>
      </c>
      <c r="AJ7" s="93" t="n"/>
      <c r="AK7" s="136" t="n"/>
      <c r="AL7" s="139" t="n"/>
      <c r="AN7" s="93" t="n"/>
      <c r="AR7" s="93" t="n"/>
      <c r="AS7" s="93" t="n"/>
      <c r="AU7" s="93" t="n"/>
      <c r="AV7" s="15" t="n"/>
      <c r="AW7" s="15" t="n"/>
      <c r="AX7" s="15" t="n"/>
      <c r="AY7" s="16" t="n"/>
      <c r="AZ7" s="16" t="n"/>
      <c r="BA7" s="15" t="n"/>
    </row>
    <row r="8">
      <c r="P8" s="140" t="n"/>
    </row>
    <row r="9">
      <c r="P9" s="140" t="n"/>
    </row>
    <row r="10">
      <c r="P10" s="140" t="n"/>
    </row>
    <row r="11">
      <c r="P11" s="140" t="n"/>
    </row>
    <row r="12">
      <c r="P12" s="140" t="n"/>
    </row>
    <row r="13">
      <c r="P13" s="140" t="n"/>
    </row>
    <row r="14">
      <c r="P14" s="140" t="n"/>
    </row>
    <row r="15">
      <c r="F15" s="29" t="n"/>
      <c r="P15" s="140" t="n"/>
    </row>
    <row r="16">
      <c r="P16" s="140" t="n"/>
    </row>
    <row r="17">
      <c r="P17" s="140" t="n"/>
    </row>
    <row r="18">
      <c r="P18" s="140" t="n"/>
    </row>
    <row r="19">
      <c r="P19" s="140" t="n"/>
      <c r="AB19" s="89" t="n"/>
    </row>
    <row r="20">
      <c r="P20" s="140" t="n"/>
    </row>
    <row r="21">
      <c r="P21" s="140" t="n"/>
    </row>
    <row r="22">
      <c r="P22" s="140" t="n"/>
    </row>
    <row r="23">
      <c r="P23" s="140" t="n"/>
    </row>
    <row r="24">
      <c r="P24" s="140" t="n"/>
    </row>
    <row r="25">
      <c r="P25" s="140" t="n"/>
    </row>
    <row r="26">
      <c r="P26" s="140" t="n"/>
    </row>
    <row r="27">
      <c r="P27" s="140" t="n"/>
    </row>
    <row r="28">
      <c r="P28" s="140" t="n"/>
    </row>
    <row r="29">
      <c r="P29" s="140" t="n"/>
    </row>
    <row r="30">
      <c r="P30" s="140" t="n"/>
    </row>
    <row r="31">
      <c r="P31" s="140" t="n"/>
    </row>
    <row r="32">
      <c r="P32" s="140" t="n"/>
    </row>
    <row r="33">
      <c r="P33" s="140" t="n"/>
    </row>
    <row r="34">
      <c r="P34" s="140" t="n"/>
    </row>
    <row r="35">
      <c r="P35" s="140" t="n"/>
    </row>
    <row r="36">
      <c r="P36" s="140" t="n"/>
    </row>
    <row r="37">
      <c r="P37" s="140" t="n"/>
    </row>
    <row r="38">
      <c r="P38" s="140" t="n"/>
    </row>
    <row r="39">
      <c r="P39" s="140" t="n"/>
    </row>
    <row r="40">
      <c r="P40" s="140" t="n"/>
    </row>
    <row r="41">
      <c r="P41" s="140" t="n"/>
    </row>
    <row r="42">
      <c r="P42" s="140" t="n"/>
    </row>
    <row r="43">
      <c r="P43" s="140" t="n"/>
    </row>
    <row r="44">
      <c r="P44" s="140" t="n"/>
    </row>
    <row r="45">
      <c r="P45" s="140" t="n"/>
    </row>
    <row r="46">
      <c r="P46" s="140" t="n"/>
    </row>
    <row r="47">
      <c r="P47" s="140" t="n"/>
    </row>
    <row r="48">
      <c r="P48" s="140" t="n"/>
    </row>
    <row r="49">
      <c r="P49" s="140" t="n"/>
    </row>
    <row r="50">
      <c r="P50" s="140" t="n"/>
    </row>
    <row r="51">
      <c r="P51" s="140" t="n"/>
    </row>
    <row r="52">
      <c r="P52" s="140" t="n"/>
    </row>
    <row r="53">
      <c r="P53" s="140" t="n"/>
    </row>
    <row r="54">
      <c r="P54" s="140" t="n"/>
    </row>
    <row r="55">
      <c r="P55" s="140" t="n"/>
    </row>
    <row r="56">
      <c r="P56" s="140" t="n"/>
    </row>
    <row r="57">
      <c r="P57" s="140" t="n"/>
    </row>
    <row r="58">
      <c r="P58" s="140" t="n"/>
    </row>
    <row r="59">
      <c r="P59" s="140" t="n"/>
    </row>
    <row r="60">
      <c r="P60" s="140" t="n"/>
    </row>
    <row r="61">
      <c r="P61" s="140" t="n"/>
    </row>
    <row r="62">
      <c r="P62" s="140" t="n"/>
    </row>
    <row r="63">
      <c r="P63" s="140" t="n"/>
    </row>
    <row r="64">
      <c r="P64" s="140" t="n"/>
    </row>
    <row r="65">
      <c r="P65" s="140" t="n"/>
    </row>
    <row r="66">
      <c r="P66" s="140" t="n"/>
    </row>
    <row r="67">
      <c r="P67" s="140" t="n"/>
    </row>
    <row r="68">
      <c r="P68" s="140" t="n"/>
    </row>
    <row r="69">
      <c r="P69" s="140" t="n"/>
    </row>
    <row r="70">
      <c r="P70" s="140" t="n"/>
    </row>
    <row r="71">
      <c r="P71" s="140" t="n"/>
    </row>
    <row r="72">
      <c r="P72" s="140" t="n"/>
    </row>
    <row r="73">
      <c r="P73" s="140" t="n"/>
    </row>
    <row r="74">
      <c r="P74" s="140" t="n"/>
    </row>
    <row r="75">
      <c r="P75" s="140" t="n"/>
    </row>
    <row r="76">
      <c r="P76" s="140" t="n"/>
    </row>
    <row r="77">
      <c r="P77" s="140" t="n"/>
    </row>
    <row r="78">
      <c r="P78" s="140" t="n"/>
    </row>
    <row r="79">
      <c r="P79" s="140" t="n"/>
    </row>
    <row r="80">
      <c r="P80" s="140" t="n"/>
    </row>
    <row r="81">
      <c r="P81" s="140" t="n"/>
    </row>
    <row r="82">
      <c r="P82" s="140" t="n"/>
    </row>
    <row r="83">
      <c r="P83" s="140" t="n"/>
    </row>
    <row r="84">
      <c r="P84" s="140" t="n"/>
    </row>
    <row r="85">
      <c r="P85" s="140" t="n"/>
    </row>
    <row r="86">
      <c r="P86" s="140" t="n"/>
    </row>
    <row r="87">
      <c r="P87" s="140" t="n"/>
    </row>
    <row r="88">
      <c r="P88" s="140" t="n"/>
    </row>
    <row r="89">
      <c r="P89" s="140" t="n"/>
    </row>
    <row r="90">
      <c r="P90" s="140" t="n"/>
    </row>
    <row r="91">
      <c r="P91" s="140" t="n"/>
    </row>
    <row r="92">
      <c r="P92" s="140" t="n"/>
    </row>
    <row r="93">
      <c r="P93" s="140" t="n"/>
    </row>
    <row r="94">
      <c r="P94" s="140" t="n"/>
    </row>
    <row r="95">
      <c r="P95" s="140" t="n"/>
    </row>
    <row r="96">
      <c r="P96" s="140" t="n"/>
    </row>
    <row r="97">
      <c r="P97" s="140" t="n"/>
    </row>
    <row r="98">
      <c r="P98" s="140" t="n"/>
    </row>
    <row r="99">
      <c r="P99" s="140" t="n"/>
    </row>
    <row r="100">
      <c r="P100" s="140" t="n"/>
    </row>
  </sheetData>
  <sheetProtection selectLockedCells="0" selectUnlockedCells="0" sheet="1" objects="1" insertRows="1" insertHyperlinks="1" autoFilter="1" scenarios="0" formatColumns="0" deleteColumns="1" insertColumns="1" pivotTables="1" deleteRows="1" formatCells="1" formatRows="1" sort="1"/>
  <mergeCells count="7">
    <mergeCell ref="AD1:AF1"/>
    <mergeCell ref="K1:V1"/>
    <mergeCell ref="AN1:AZ1"/>
    <mergeCell ref="AH1:AJ1"/>
    <mergeCell ref="AK1:AL1"/>
    <mergeCell ref="B1:J1"/>
    <mergeCell ref="W1:AC1"/>
  </mergeCells>
  <conditionalFormatting sqref="AY6">
    <cfRule type="expression" priority="4" dxfId="4">
      <formula>AND($AY6&lt;TODAY(),COUNTBLANK($AY6)=0)</formula>
    </cfRule>
    <cfRule type="expression" priority="3" dxfId="4">
      <formula>AND($AZ6&lt;&gt;"",$AY6="")</formula>
    </cfRule>
  </conditionalFormatting>
  <conditionalFormatting sqref="AZ6">
    <cfRule type="expression" priority="2" dxfId="2">
      <formula>AND($AY6&lt;&gt;"",$AZ6="")</formula>
    </cfRule>
  </conditionalFormatting>
  <conditionalFormatting sqref="A4:A1000">
    <cfRule type="expression" priority="71" dxfId="0">
      <formula>AND(LEN($A3)&lt;&gt;0,LEN($A4)&lt;&gt;0,$A3=$A4)</formula>
    </cfRule>
  </conditionalFormatting>
  <conditionalFormatting sqref="B4:B1000">
    <cfRule type="expression" priority="70" dxfId="1">
      <formula>AND(LEN($A3)&lt;&gt;0,LEN($A4)&lt;&gt;0,$A3=$A4)</formula>
    </cfRule>
  </conditionalFormatting>
  <conditionalFormatting sqref="C4:C1000">
    <cfRule type="expression" priority="69" dxfId="1">
      <formula>AND(LEN($A3)&lt;&gt;0,LEN($A4)&lt;&gt;0,$A3=$A4)</formula>
    </cfRule>
  </conditionalFormatting>
  <conditionalFormatting sqref="D4:D1000">
    <cfRule type="expression" priority="68" dxfId="1">
      <formula>AND(LEN($A3)&lt;&gt;0,LEN($A4)&lt;&gt;0,$A3=$A4)</formula>
    </cfRule>
  </conditionalFormatting>
  <conditionalFormatting sqref="E4:E1000">
    <cfRule type="expression" priority="67" dxfId="1">
      <formula>AND(LEN($A3)&lt;&gt;0,LEN($A4)&lt;&gt;0,$A3=$A4)</formula>
    </cfRule>
  </conditionalFormatting>
  <conditionalFormatting sqref="F4:F1000">
    <cfRule type="expression" priority="66" dxfId="1">
      <formula>AND(LEN($A3)&lt;&gt;0,LEN($A4)&lt;&gt;0,$A3=$A4)</formula>
    </cfRule>
  </conditionalFormatting>
  <conditionalFormatting sqref="G5:G1000">
    <cfRule type="expression" priority="65" dxfId="1">
      <formula>AND(LEN($A4)&lt;&gt;0,LEN($A5)&lt;&gt;0,$A4=$A5)</formula>
    </cfRule>
  </conditionalFormatting>
  <conditionalFormatting sqref="H4:H1000">
    <cfRule type="expression" priority="64" dxfId="1">
      <formula>AND(LEN($A3)&lt;&gt;0,LEN($A4)&lt;&gt;0,$A3=$A4)</formula>
    </cfRule>
  </conditionalFormatting>
  <conditionalFormatting sqref="I4:I1000">
    <cfRule type="expression" priority="63" dxfId="1">
      <formula>AND(LEN($A3)&lt;&gt;0,LEN($A4)&lt;&gt;0,$A3=$A4)</formula>
    </cfRule>
  </conditionalFormatting>
  <conditionalFormatting sqref="J4:J1000">
    <cfRule type="expression" priority="62" dxfId="1">
      <formula>AND(LEN($A3)&lt;&gt;0,LEN($A4)&lt;&gt;0,$A3=$A4)</formula>
    </cfRule>
  </conditionalFormatting>
  <conditionalFormatting sqref="K4:K1000">
    <cfRule type="expression" priority="61" dxfId="1">
      <formula>AND(LEN($A3)&lt;&gt;0,LEN($A4)&lt;&gt;0,$A3=$A4)</formula>
    </cfRule>
  </conditionalFormatting>
  <conditionalFormatting sqref="L4:L1000">
    <cfRule type="expression" priority="60" dxfId="1">
      <formula>AND(LEN($A3)&lt;&gt;0,LEN($A4)&lt;&gt;0,$A3=$A4)</formula>
    </cfRule>
  </conditionalFormatting>
  <conditionalFormatting sqref="M3:M1000">
    <cfRule type="expression" priority="210" dxfId="2">
      <formula>AND(COUNTBLANK($AQ3)=0,COUNTBLANK($M3)=1)</formula>
    </cfRule>
  </conditionalFormatting>
  <conditionalFormatting sqref="M4:M1000">
    <cfRule type="expression" priority="209" dxfId="1">
      <formula>AND(LEN($A3)&lt;&gt;0,LEN($A4)&lt;&gt;0,$A3=$A4)</formula>
    </cfRule>
  </conditionalFormatting>
  <conditionalFormatting sqref="N4:N1000">
    <cfRule type="expression" priority="59" dxfId="1">
      <formula>AND(LEN($A3)&lt;&gt;0,LEN($A4)&lt;&gt;0,$A3=$A4)</formula>
    </cfRule>
  </conditionalFormatting>
  <conditionalFormatting sqref="O4:O1000">
    <cfRule type="expression" priority="58" dxfId="1">
      <formula>AND(LEN($A3)&lt;&gt;0,LEN($A4)&lt;&gt;0,$A3=$A4)</formula>
    </cfRule>
  </conditionalFormatting>
  <conditionalFormatting sqref="P4:P1000">
    <cfRule type="expression" priority="57" dxfId="1">
      <formula>AND(LEN($A3)&lt;&gt;0,LEN($A4)&lt;&gt;0,$A3=$A4)</formula>
    </cfRule>
  </conditionalFormatting>
  <conditionalFormatting sqref="Q3:Q1000">
    <cfRule type="expression" priority="211" dxfId="1">
      <formula>COUNT(SEARCH("853",$P3))&lt;&gt;0</formula>
    </cfRule>
    <cfRule type="expression" priority="212" dxfId="3">
      <formula>COUNT(SEARCH("852",$P3))&lt;&gt;0</formula>
    </cfRule>
  </conditionalFormatting>
  <conditionalFormatting sqref="Q4:Q1000">
    <cfRule type="expression" priority="208" dxfId="1">
      <formula>AND(LEN($A3)&lt;&gt;0,LEN($A4)&lt;&gt;0,$A3=$A4)</formula>
    </cfRule>
  </conditionalFormatting>
  <conditionalFormatting sqref="R3:R1000">
    <cfRule type="expression" priority="206" dxfId="1">
      <formula>COUNT(SEARCH("853",$P3))&lt;&gt;0</formula>
    </cfRule>
    <cfRule type="expression" priority="207" dxfId="3">
      <formula>COUNT(SEARCH("852",$P3))&lt;&gt;0</formula>
    </cfRule>
  </conditionalFormatting>
  <conditionalFormatting sqref="R4:R1000">
    <cfRule type="expression" priority="205" dxfId="1">
      <formula>AND(LEN($A3)&lt;&gt;0,LEN($A4)&lt;&gt;0,$A3=$A4)</formula>
    </cfRule>
  </conditionalFormatting>
  <conditionalFormatting sqref="S3:S1000">
    <cfRule type="expression" priority="203" dxfId="1">
      <formula>COUNT(SEARCH("853",$P3))&lt;&gt;0</formula>
    </cfRule>
    <cfRule type="expression" priority="204" dxfId="3">
      <formula>COUNT(SEARCH("852",$P3))&lt;&gt;0</formula>
    </cfRule>
  </conditionalFormatting>
  <conditionalFormatting sqref="S4:S1000">
    <cfRule type="expression" priority="202" dxfId="1">
      <formula>AND(LEN($A3)&lt;&gt;0,LEN($A4)&lt;&gt;0,$A3=$A4)</formula>
    </cfRule>
  </conditionalFormatting>
  <conditionalFormatting sqref="T3:T1000">
    <cfRule type="expression" priority="200" dxfId="1">
      <formula>COUNT(SEARCH("853",$P3))&lt;&gt;0</formula>
    </cfRule>
    <cfRule type="expression" priority="201" dxfId="3">
      <formula>COUNT(SEARCH("852",$P3))&lt;&gt;0</formula>
    </cfRule>
  </conditionalFormatting>
  <conditionalFormatting sqref="T4:T1000">
    <cfRule type="expression" priority="199" dxfId="1">
      <formula>AND(LEN($A3)&lt;&gt;0,LEN($A4)&lt;&gt;0,$A3=$A4)</formula>
    </cfRule>
  </conditionalFormatting>
  <conditionalFormatting sqref="U3:U1000">
    <cfRule type="expression" priority="213" dxfId="2">
      <formula>AND(OR($Q3="台湾",$Q3="台灣",$Q3="臺灣",$Q3="臺湾",$Q3="Taiwan"),AND($O3&lt;&gt;0),ISBLANK($U3))</formula>
    </cfRule>
  </conditionalFormatting>
  <conditionalFormatting sqref="U4:U1000">
    <cfRule type="expression" priority="198" dxfId="1">
      <formula>AND(LEN($A3)&lt;&gt;0,LEN($A4)&lt;&gt;0,$A3=$A4)</formula>
    </cfRule>
  </conditionalFormatting>
  <conditionalFormatting sqref="V3:V1000">
    <cfRule type="expression" priority="154" dxfId="2">
      <formula>AND(OR($Q3="台湾",$Q3="台灣",$Q3="臺灣",$Q3="臺湾",$Q3="Taiwan"),AND($O3&lt;&gt;0),ISBLANK($V3))</formula>
    </cfRule>
  </conditionalFormatting>
  <conditionalFormatting sqref="V4:V1000">
    <cfRule type="expression" priority="197" dxfId="1">
      <formula>AND(LEN($A3)&lt;&gt;0,LEN($A4)&lt;&gt;0,$A3=$A4)</formula>
    </cfRule>
  </conditionalFormatting>
  <conditionalFormatting sqref="W3:W1000">
    <cfRule type="expression" priority="138" dxfId="2">
      <formula>AND(OR(RIGHT($Q3,8)="Province",RIGHT($Q3,4)="City",RIGHT($Q3,6)="County",RIGHT($Q3,8)="District",RIGHT($Q3,8)="Township"),ISBLANK($W3))</formula>
    </cfRule>
    <cfRule type="expression" priority="139" dxfId="2">
      <formula>AND(OR(RIGHT($Q3,1)="省",RIGHT($Q3,1)="市",RIGHT($Q3,1)="区",RIGHT($Q3,1)="县",RIGHT($Q3,1)="镇",RIGHT($Q3,1)="乡"),ISBLANK($W3))</formula>
    </cfRule>
    <cfRule type="expression" priority="140" dxfId="2">
      <formula>AND(OR(RIGHT($Q3,1)="省",RIGHT($Q3,1)="市",RIGHT($Q3,1)="區",RIGHT($Q3,1)="縣",RIGHT($Q3,1)="鎮",RIGHT($Q3,1)="鄉"),ISBLANK($W3))</formula>
    </cfRule>
    <cfRule type="expression" priority="141" dxfId="2">
      <formula>AND(OR($G3="香港",$G3="Hong Kong",$G3="香港/Hong Kong"),OR($Q3="Hong Kong",$Q3="Hong Kong, China",$Q3="HK",$Q3="HKSAR"),ISBLANK($W3))</formula>
    </cfRule>
    <cfRule type="expression" priority="142" dxfId="2">
      <formula>AND(OR($G3="香港",$G3="Hong Kong",$G3="香港/Hong Kong"),OR($Q3="香港",$Q3="中国香港",$Q3="香港特别行政区"),ISBLANK($W3))</formula>
    </cfRule>
    <cfRule type="expression" priority="143" dxfId="2">
      <formula>AND(OR($G3="香港",$G3="Hong Kong",$G3="香港/Hong Kong"),OR($Q3="香港",$Q3="中國香港",$Q3="香港特別行政區"),ISBLANK($W3))</formula>
    </cfRule>
    <cfRule type="expression" priority="144" dxfId="2">
      <formula>AND(OR($G3="澳门",$G3="澳門",$G3="Macau",$G3="澳門/Macau"),OR($Q3="Macau",$Q3="Macau, China"),ISBLANK($W3))</formula>
    </cfRule>
    <cfRule type="expression" priority="145" dxfId="2">
      <formula>AND(OR($G3="澳门",$G3="澳門",$G3="Macau",$G3="澳門/Macau"),OR($Q3="澳门",$Q3="中国澳门",$Q3="澳门特别行政区"),ISBLANK($W3))</formula>
    </cfRule>
    <cfRule type="expression" priority="146" dxfId="2">
      <formula>AND(OR($G3="澳门",$G3="澳門",$G3="Macau",$G3="澳門/Macau"),OR($Q3="澳門",$Q3="中國澳門",$Q3="澳門特別行政區"),ISBLANK($W3))</formula>
    </cfRule>
    <cfRule type="expression" priority="147" dxfId="2">
      <formula>AND(OR($G3="澳门",$G3="澳門",$G3="Macau",$G3="澳門/Macau"),OR($Q3="Hong Kong",$Q3="Hong Kong, China",$Q3="HK",$Q3="HKSAR",$Q3="Taiwan",$Q3="Taiwan, China"),ISBLANK($W3))</formula>
    </cfRule>
    <cfRule type="expression" priority="148" dxfId="2">
      <formula>AND(OR($G3="澳门",$G3="澳門",$G3="Macau",$G3="澳門/Macau"),OR($Q3="香港",$Q3="中国香港",$Q3="香港特别行政区",$Q3="台湾",$Q3="中国台湾"),ISBLANK($W3))</formula>
    </cfRule>
    <cfRule type="expression" priority="149" dxfId="2">
      <formula>AND(OR($G3="澳门",$G3="澳門",$G3="Macau",$G3="澳門/Macau"),OR($Q3="香港",$Q3="中國香港",$Q3="香港特別行政區",$Q3="台灣",$Q3="中國台灣"),ISBLANK($W3))</formula>
    </cfRule>
    <cfRule type="expression" priority="150" dxfId="2">
      <formula>AND(OR($G3="香港",$G3="Hong Kong",$G3="香港/Hong Kong"),OR($Q3="Macau",$Q3="Macau, China",$Q3="Taiwan",$Q3="Taiwan, China"),ISBLANK($W3))</formula>
    </cfRule>
    <cfRule type="expression" priority="151" dxfId="2">
      <formula>AND(OR($G3="香港",$G3="Hong Kong",$G3="香港/Hong Kong"),OR($Q3="澳门",$Q3="中国澳门",$Q3="澳门特别行政区",$Q3="台湾",$Q3="中国台湾"),ISBLANK($W3))</formula>
    </cfRule>
    <cfRule type="expression" priority="152" dxfId="2">
      <formula>AND(OR($G3="香港",$G3="Hong Kong",$G3="香港/Hong Kong"),OR($Q3="澳門",$Q3="中國澳門",$Q3="澳門特別行政區",$Q3="台灣",$Q3="中國台灣"),ISBLANK($W3))</formula>
    </cfRule>
    <cfRule type="expression" priority="153" dxfId="2">
      <formula>AND(LEN($X3)&lt;&gt;0,ISBLANK($W3))</formula>
    </cfRule>
  </conditionalFormatting>
  <conditionalFormatting sqref="X3:X1000">
    <cfRule type="expression" priority="122" dxfId="2">
      <formula>AND(OR(RIGHT($Q3,8)="Province",RIGHT($Q3,4)="City",RIGHT($Q3,6)="County",RIGHT($Q3,8)="District",RIGHT($Q3,8)="Township"),ISBLANK($X3))</formula>
    </cfRule>
    <cfRule type="expression" priority="123" dxfId="2">
      <formula>AND(OR(RIGHT($Q3,1)="省",RIGHT($Q3,1)="市",RIGHT($Q3,1)="区",RIGHT($Q3,1)="县",RIGHT($Q3,1)="镇",RIGHT($Q3,1)="乡"),ISBLANK($X3))</formula>
    </cfRule>
    <cfRule type="expression" priority="124" dxfId="2">
      <formula>AND(OR(RIGHT($Q3,1)="省",RIGHT($Q3,1)="市",RIGHT($Q3,1)="區",RIGHT($Q3,1)="縣",RIGHT($Q3,1)="鎮",RIGHT($Q3,1)="鄉"),ISBLANK($X3))</formula>
    </cfRule>
    <cfRule type="expression" priority="125" dxfId="2">
      <formula>AND(OR($G3="香港",$G3="Hong Kong",$G3="香港/Hong Kong"),OR($Q3="Hong Kong",$Q3="Hong Kong, China",$Q3="HK",$Q3="HKSAR"),ISBLANK($X3))</formula>
    </cfRule>
    <cfRule type="expression" priority="126" dxfId="2">
      <formula>AND(OR($G3="香港",$G3="Hong Kong",$G3="香港/Hong Kong"),OR($Q3="香港",$Q3="中国香港",$Q3="香港特别行政区"),ISBLANK($X3))</formula>
    </cfRule>
    <cfRule type="expression" priority="127" dxfId="2">
      <formula>AND(OR($G3="香港",$G3="Hong Kong",$G3="香港/Hong Kong"),OR($Q3="香港",$Q3="中國香港",$Q3="香港特別行政區"),ISBLANK($X3))</formula>
    </cfRule>
    <cfRule type="expression" priority="128" dxfId="2">
      <formula>AND(OR($G3="澳门",$G3="澳門",$G3="Macau",$G3="澳門/Macau"),OR($Q3="Macau",$Q3="Macau, China"),ISBLANK($X3))</formula>
    </cfRule>
    <cfRule type="expression" priority="129" dxfId="2">
      <formula>AND(OR($G3="澳门",$G3="澳門",$G3="Macau",$G3="澳門/Macau"),OR($Q3="澳门",$Q3="中国澳门",$Q3="澳门特别行政区"),ISBLANK($X3))</formula>
    </cfRule>
    <cfRule type="expression" priority="130" dxfId="2">
      <formula>AND(OR($G3="澳门",$G3="澳門",$G3="Macau",$G3="澳門/Macau"),OR($Q3="澳門",$Q3="中國澳門",$Q3="澳門特別行政區"),ISBLANK($X3))</formula>
    </cfRule>
    <cfRule type="expression" priority="131" dxfId="2">
      <formula>AND(OR($G3="澳门",$G3="澳門",$G3="Macau",$G3="澳門/Macau"),OR($Q3="Hong Kong",$Q3="Hong Kong, China",$Q3="HK",$Q3="HKSAR",$Q3="Taiwan",$Q3="Taiwan, China"),ISBLANK($X3))</formula>
    </cfRule>
    <cfRule type="expression" priority="132" dxfId="2">
      <formula>AND(OR($G3="澳门",$G3="澳門",$G3="Macau",$G3="澳門/Macau"),OR($Q3="香港",$Q3="中国香港",$Q3="香港特别行政区",$Q3="台湾",$Q3="中国台湾"),ISBLANK($X3))</formula>
    </cfRule>
    <cfRule type="expression" priority="133" dxfId="2">
      <formula>AND(OR($G3="澳门",$G3="澳門",$G3="Macau",$G3="澳門/Macau"),OR($Q3="香港",$Q3="中國香港",$Q3="香港特別行政區",$Q3="台灣",$Q3="中國台灣"),ISBLANK($X3))</formula>
    </cfRule>
    <cfRule type="expression" priority="134" dxfId="2">
      <formula>AND(OR($G3="香港",$G3="Hong Kong",$G3="香港/Hong Kong"),OR($Q3="Macau",$Q3="Macau, China",$Q3="Taiwan",$Q3="Taiwan, China"),ISBLANK($X3))</formula>
    </cfRule>
    <cfRule type="expression" priority="135" dxfId="2">
      <formula>AND(OR($G3="香港",$G3="Hong Kong",$G3="香港/Hong Kong"),OR($Q3="澳门",$Q3="中国澳门",$Q3="澳门特别行政区",$Q3="台湾",$Q3="中国台湾"),ISBLANK($X3))</formula>
    </cfRule>
    <cfRule type="expression" priority="136" dxfId="2">
      <formula>AND(OR($G3="香港",$G3="Hong Kong",$G3="香港/Hong Kong"),OR($Q3="澳門",$Q3="中國澳門",$Q3="澳門特別行政區",$Q3="台灣",$Q3="中國台灣"),ISBLANK($X3))</formula>
    </cfRule>
    <cfRule type="expression" priority="137" dxfId="2">
      <formula>AND(LEN($W3)&lt;&gt;0,ISBLANK($X3))</formula>
    </cfRule>
  </conditionalFormatting>
  <conditionalFormatting sqref="Y3:Y1000">
    <cfRule type="expression" priority="112" dxfId="2">
      <formula>AND(OR(RIGHT($Q3,8)="Province",RIGHT($Q3,4)="City",RIGHT($Q3,6)="County",RIGHT($Q3,8)="District",RIGHT($Q3,8)="Township"),ISBLANK($Y3))</formula>
    </cfRule>
    <cfRule type="expression" priority="113" dxfId="2">
      <formula>AND(OR(RIGHT($Q3,1)="省",RIGHT($Q3,1)="市",RIGHT($Q3,1)="区",RIGHT($Q3,1)="县",RIGHT($Q3,1)="镇",RIGHT($Q3,1)="乡"),ISBLANK($Y3))</formula>
    </cfRule>
    <cfRule type="expression" priority="114" dxfId="2">
      <formula>AND(OR(RIGHT($Q3,1)="省",RIGHT($Q3,1)="市",RIGHT($Q3,1)="區",RIGHT($Q3,1)="縣",RIGHT($Q3,1)="鎮",RIGHT($Q3,1)="鄉"),ISBLANK($Y3))</formula>
    </cfRule>
    <cfRule type="expression" priority="115" dxfId="2">
      <formula>AND(OR($G3="澳门",$G3="澳門",$G3="Macau",$G3="澳門/Macau"),OR($Q3="Hong Kong",$Q3="Hong Kong, China",$Q3="HK",$Q3="HKSAR",$Q3="Taiwan",$Q3="Taiwan, China"),ISBLANK($Y3))</formula>
    </cfRule>
    <cfRule type="expression" priority="116" dxfId="2">
      <formula>AND(OR($G3="澳门",$G3="澳門",$G3="Macau",$G3="澳門/Macau"),OR($Q3="香港",$Q3="中国香港",$Q3="香港特别行政区",$Q3="台湾",$Q3="中国台湾"),ISBLANK($Y3))</formula>
    </cfRule>
    <cfRule type="expression" priority="117" dxfId="2">
      <formula>AND(OR($G3="澳门",$G3="澳門",$G3="Macau",$G3="澳門/Macau"),OR($Q3="香港",$Q3="中國香港",$Q3="香港特別行政區",$Q3="台灣",$Q3="中國台灣"),ISBLANK($Y3))</formula>
    </cfRule>
    <cfRule type="expression" priority="118" dxfId="2">
      <formula>AND(OR($G3="香港",$G3="Hong Kong",$G3="香港/Hong Kong"),OR($Q3="Macau",$Q3="Macau, China",$Q3="Taiwan",$Q3="Taiwan, China"),ISBLANK($Y3))</formula>
    </cfRule>
    <cfRule type="expression" priority="119" dxfId="2">
      <formula>AND(OR($G3="香港",$G3="Hong Kong",$G3="香港/Hong Kong"),OR($Q3="澳门",$Q3="中国澳门",$Q3="澳门特别行政区",$Q3="台湾",$Q3="中国台湾"),ISBLANK($Y3))</formula>
    </cfRule>
    <cfRule type="expression" priority="120" dxfId="2">
      <formula>AND(OR($G3="香港",$G3="Hong Kong",$G3="香港/Hong Kong"),OR($Q3="澳門",$Q3="中國澳門",$Q3="澳門特別行政區",$Q3="台灣",$Q3="中國台灣"),ISBLANK($Y3))</formula>
    </cfRule>
    <cfRule type="expression" priority="121" dxfId="2">
      <formula>AND(LEN($Z3)&lt;&gt;0,ISBLANK($Y3))</formula>
    </cfRule>
  </conditionalFormatting>
  <conditionalFormatting sqref="Z3:Z1000">
    <cfRule type="expression" priority="102" dxfId="2">
      <formula>AND(OR(RIGHT($Q3,8)="Province",RIGHT($Q3,4)="City",RIGHT($Q3,6)="County",RIGHT($Q3,8)="District",RIGHT($Q3,8)="Township"),ISBLANK($Z3))</formula>
    </cfRule>
    <cfRule type="expression" priority="103" dxfId="2">
      <formula>AND(OR(RIGHT($Q3,1)="省",RIGHT($Q3,1)="市",RIGHT($Q3,1)="区",RIGHT($Q3,1)="县",RIGHT($Q3,1)="镇",RIGHT($Q3,1)="乡"),ISBLANK($Z3))</formula>
    </cfRule>
    <cfRule type="expression" priority="104" dxfId="2">
      <formula>AND(OR(RIGHT($Q3,1)="省",RIGHT($Q3,1)="市",RIGHT($Q3,1)="區",RIGHT($Q3,1)="縣",RIGHT($Q3,1)="鎮",RIGHT($Q3,1)="鄉"),ISBLANK($Z3))</formula>
    </cfRule>
    <cfRule type="expression" priority="105" dxfId="2">
      <formula>AND(OR($G3="澳门",$G3="澳門",$G3="Macau",$G3="澳門/Macau"),OR($Q3="Hong Kong",$Q3="Hong Kong, China",$Q3="HK",$Q3="HKSAR",$Q3="Taiwan",$Q3="Taiwan, China"),ISBLANK($Z3))</formula>
    </cfRule>
    <cfRule type="expression" priority="106" dxfId="2">
      <formula>AND(OR($G3="澳门",$G3="澳門",$G3="Macau",$G3="澳門/Macau"),OR($Q3="香港",$Q3="中国香港",$Q3="香港特别行政区",$Q3="台湾",$Q3="中国台湾"),ISBLANK($Z3))</formula>
    </cfRule>
    <cfRule type="expression" priority="107" dxfId="2">
      <formula>AND(OR($G3="澳门",$G3="澳門",$G3="Macau",$G3="澳門/Macau"),OR($Q3="香港",$Q3="中國香港",$Q3="香港特別行政區",$Q3="台灣",$Q3="中國台灣"),ISBLANK($Z3))</formula>
    </cfRule>
    <cfRule type="expression" priority="108" dxfId="2">
      <formula>AND(OR($G3="香港",$G3="Hong Kong",$G3="香港/Hong Kong"),OR($Q3="Macau",$Q3="Macau, China",$Q3="Taiwan",$Q3="Taiwan, China"),ISBLANK($Z3))</formula>
    </cfRule>
    <cfRule type="expression" priority="109" dxfId="2">
      <formula>AND(OR($G3="香港",$G3="Hong Kong",$G3="香港/Hong Kong"),OR($Q3="澳门",$Q3="中国澳门",$Q3="澳门特别行政区",$Q3="台湾",$Q3="中国台湾"),ISBLANK($Z3))</formula>
    </cfRule>
    <cfRule type="expression" priority="110" dxfId="2">
      <formula>AND(OR($G3="香港",$G3="Hong Kong",$G3="香港/Hong Kong"),OR($Q3="澳門",$Q3="中國澳門",$Q3="澳門特別行政區",$Q3="台灣",$Q3="中國台灣"),ISBLANK($Z3))</formula>
    </cfRule>
    <cfRule type="expression" priority="111" dxfId="2">
      <formula>AND(LEN($Y3)&lt;&gt;0,ISBLANK($Z3))</formula>
    </cfRule>
  </conditionalFormatting>
  <conditionalFormatting sqref="AA3:AA1000">
    <cfRule type="expression" priority="92" dxfId="2">
      <formula>AND(OR(RIGHT($Q3,8)="Province",RIGHT($Q3,4)="City",RIGHT($Q3,6)="County",RIGHT($Q3,8)="District",RIGHT($Q3,8)="Township"),ISBLANK($AA3))</formula>
    </cfRule>
    <cfRule type="expression" priority="93" dxfId="2">
      <formula>AND(OR(RIGHT($Q3,1)="省",RIGHT($Q3,1)="市",RIGHT($Q3,1)="区",RIGHT($Q3,1)="县",RIGHT($Q3,1)="镇",RIGHT($Q3,1)="乡"),ISBLANK($AA3))</formula>
    </cfRule>
    <cfRule type="expression" priority="94" dxfId="2">
      <formula>AND(OR(RIGHT($Q3,1)="省",RIGHT($Q3,1)="市",RIGHT($Q3,1)="區",RIGHT($Q3,1)="縣",RIGHT($Q3,1)="鎮",RIGHT($Q3,1)="鄉"),ISBLANK($AA3))</formula>
    </cfRule>
    <cfRule type="expression" priority="95" dxfId="2">
      <formula>AND(OR($G3="澳门",$G3="澳門",$G3="Macau",$G3="澳門/Macau"),OR($Q3="Hong Kong",$Q3="Hong Kong, China",$Q3="HK",$Q3="HKSAR",$Q3="Taiwan",$Q3="Taiwan, China"),ISBLANK($AA3))</formula>
    </cfRule>
    <cfRule type="expression" priority="96" dxfId="2">
      <formula>AND(OR($G3="澳门",$G3="澳門",$G3="Macau",$G3="澳門/Macau"),OR($Q3="香港",$Q3="中国香港",$Q3="香港特别行政区",$Q3="台湾",$Q3="中国台湾"),ISBLANK($AA3))</formula>
    </cfRule>
    <cfRule type="expression" priority="97" dxfId="2">
      <formula>AND(OR($G3="澳门",$G3="澳門",$G3="Macau",$G3="澳門/Macau"),OR($Q3="香港",$Q3="中國香港",$Q3="香港特別行政區",$Q3="台灣",$Q3="中國台灣"),ISBLANK($AA3))</formula>
    </cfRule>
    <cfRule type="expression" priority="98" dxfId="2">
      <formula>AND(OR($G3="香港",$G3="Hong Kong",$G3="香港/Hong Kong"),OR($Q3="Macau",$Q3="Macau, China",$Q3="Taiwan",$Q3="Taiwan, China"),ISBLANK($AA3))</formula>
    </cfRule>
    <cfRule type="expression" priority="99" dxfId="2">
      <formula>AND(OR($G3="香港",$G3="Hong Kong",$G3="香港/Hong Kong"),OR($Q3="澳门",$Q3="中国澳门",$Q3="澳门特别行政区",$Q3="台湾",$Q3="中国台湾"),ISBLANK($AA3))</formula>
    </cfRule>
    <cfRule type="expression" priority="100" dxfId="2">
      <formula>AND(OR($G3="香港",$G3="Hong Kong",$G3="香港/Hong Kong"),OR($Q3="澳門",$Q3="中國澳門",$Q3="澳門特別行政區",$Q3="台灣",$Q3="中國台灣"),ISBLANK($AA3))</formula>
    </cfRule>
    <cfRule type="expression" priority="101" dxfId="2">
      <formula>AND(LEN($AB3)&lt;&gt;0,ISBLANK($AA3))</formula>
    </cfRule>
  </conditionalFormatting>
  <conditionalFormatting sqref="AB3:AB1000">
    <cfRule type="expression" priority="82" dxfId="2">
      <formula>AND(OR(RIGHT($Q3,8)="Province",RIGHT($Q3,4)="City",RIGHT($Q3,6)="County",RIGHT($Q3,8)="District",RIGHT($Q3,8)="Township"),ISBLANK($AB3))</formula>
    </cfRule>
    <cfRule type="expression" priority="83" dxfId="2">
      <formula>AND(OR(RIGHT($Q3,1)="省",RIGHT($Q3,1)="市",RIGHT($Q3,1)="区",RIGHT($Q3,1)="县",RIGHT($Q3,1)="镇",RIGHT($Q3,1)="乡"),ISBLANK($AB3))</formula>
    </cfRule>
    <cfRule type="expression" priority="84" dxfId="2">
      <formula>AND(OR(RIGHT($Q3,1)="省",RIGHT($Q3,1)="市",RIGHT($Q3,1)="區",RIGHT($Q3,1)="縣",RIGHT($Q3,1)="鎮",RIGHT($Q3,1)="鄉"),ISBLANK($AB3))</formula>
    </cfRule>
    <cfRule type="expression" priority="85" dxfId="2">
      <formula>AND(OR($G3="澳门",$G3="澳門",$G3="Macau",$G3="澳門/Macau"),OR($Q3="Hong Kong",$Q3="Hong Kong, China",$Q3="HK",$Q3="HKSAR",$Q3="Taiwan",$Q3="Taiwan, China"),ISBLANK($AB3))</formula>
    </cfRule>
    <cfRule type="expression" priority="86" dxfId="2">
      <formula>AND(OR($G3="澳门",$G3="澳門",$G3="Macau",$G3="澳門/Macau"),OR($Q3="香港",$Q3="中国香港",$Q3="香港特别行政区",$Q3="台湾",$Q3="中国台湾"),ISBLANK($AB3))</formula>
    </cfRule>
    <cfRule type="expression" priority="87" dxfId="2">
      <formula>AND(OR($G3="澳门",$G3="澳門",$G3="Macau",$G3="澳門/Macau"),OR($Q3="香港",$Q3="中國香港",$Q3="香港特別行政區",$Q3="台灣",$Q3="中國台灣"),ISBLANK($AB3))</formula>
    </cfRule>
    <cfRule type="expression" priority="88" dxfId="2">
      <formula>AND(OR($G3="香港",$G3="Hong Kong",$G3="香港/Hong Kong"),OR($Q3="Macau",$Q3="Macau, China",$Q3="Taiwan",$Q3="Taiwan, China"),ISBLANK($AB3))</formula>
    </cfRule>
    <cfRule type="expression" priority="89" dxfId="2">
      <formula>AND(OR($G3="香港",$G3="Hong Kong",$G3="香港/Hong Kong"),OR($Q3="澳门",$Q3="中国澳门",$Q3="澳门特别行政区",$Q3="台湾",$Q3="中国台湾"),ISBLANK($AB3))</formula>
    </cfRule>
    <cfRule type="expression" priority="90" dxfId="2">
      <formula>AND(OR($G3="香港",$G3="Hong Kong",$G3="香港/Hong Kong"),OR($Q3="澳門",$Q3="中國澳門",$Q3="澳門特別行政區",$Q3="台灣",$Q3="中國台灣"),ISBLANK($AB3))</formula>
    </cfRule>
    <cfRule type="expression" priority="91" dxfId="2">
      <formula>AND(LEN($AA3)&lt;&gt;0,ISBLANK($AB3))</formula>
    </cfRule>
  </conditionalFormatting>
  <conditionalFormatting sqref="AC3:AC1000">
    <cfRule type="expression" priority="73" dxfId="2">
      <formula>AND(OR(RIGHT($Q3,8)="Province",RIGHT($Q3,4)="City",RIGHT($Q3,6)="County",RIGHT($Q3,8)="District",RIGHT($Q3,8)="Township"),ISBLANK($AC3))</formula>
    </cfRule>
    <cfRule type="expression" priority="74" dxfId="2">
      <formula>AND(OR(RIGHT($Q3,1)="省",RIGHT($Q3,1)="市",RIGHT($Q3,1)="区",RIGHT($Q3,1)="县",RIGHT($Q3,1)="镇",RIGHT($Q3,1)="乡"),ISBLANK($AC3))</formula>
    </cfRule>
    <cfRule type="expression" priority="75" dxfId="2">
      <formula>AND(OR(RIGHT($Q3,1)="省",RIGHT($Q3,1)="市",RIGHT($Q3,1)="區",RIGHT($Q3,1)="縣",RIGHT($Q3,1)="鎮",RIGHT($Q3,1)="鄉"),ISBLANK($AC3))</formula>
    </cfRule>
    <cfRule type="expression" priority="76" dxfId="2">
      <formula>AND(OR($G3="澳门",$G3="澳門",$G3="Macau",$G3="澳門/Macau"),OR($Q3="Hong Kong",$Q3="Hong Kong, China",$Q3="HK",$Q3="HKSAR",$Q3="Taiwan",$Q3="Taiwan, China"),ISBLANK($AC3))</formula>
    </cfRule>
    <cfRule type="expression" priority="77" dxfId="2">
      <formula>AND(OR($G3="澳门",$G3="澳門",$G3="Macau",$G3="澳門/Macau"),OR($Q3="香港",$Q3="中国香港",$Q3="香港特别行政区",$Q3="台湾",$Q3="中国台湾"),ISBLANK($AC3))</formula>
    </cfRule>
    <cfRule type="expression" priority="78" dxfId="2">
      <formula>AND(OR($G3="澳门",$G3="澳門",$G3="Macau",$G3="澳門/Macau"),OR($Q3="香港",$Q3="中國香港",$Q3="香港特別行政區",$Q3="台灣",$Q3="中國台灣"),ISBLANK($AC3))</formula>
    </cfRule>
    <cfRule type="expression" priority="79" dxfId="2">
      <formula>AND(OR($G3="香港",$G3="Hong Kong",$G3="香港/Hong Kong"),OR($Q3="Macau",$Q3="Macau, China",$Q3="Taiwan",$Q3="Taiwan, China"),ISBLANK($AC3))</formula>
    </cfRule>
    <cfRule type="expression" priority="80" dxfId="2">
      <formula>AND(OR($G3="香港",$G3="Hong Kong",$G3="香港/Hong Kong"),OR($Q3="澳门",$Q3="中国澳门",$Q3="澳门特别行政区",$Q3="台湾",$Q3="中国台湾"),ISBLANK($AC3))</formula>
    </cfRule>
    <cfRule type="expression" priority="81" dxfId="2">
      <formula>AND(OR($G3="香港",$G3="Hong Kong",$G3="香港/Hong Kong"),OR($Q3="澳門",$Q3="中國澳門",$Q3="澳門特別行政區",$Q3="台灣",$Q3="中國台灣"),ISBLANK($AC3))</formula>
    </cfRule>
  </conditionalFormatting>
  <conditionalFormatting sqref="AD4:AD1000">
    <cfRule type="expression" priority="56" dxfId="1">
      <formula>AND(LEN($A3)&lt;&gt;0,LEN($A4)&lt;&gt;0,$A3=$A4)</formula>
    </cfRule>
  </conditionalFormatting>
  <conditionalFormatting sqref="AE4:AE1000">
    <cfRule type="expression" priority="55" dxfId="1">
      <formula>AND(LEN($A3)&lt;&gt;0,LEN($A4)&lt;&gt;0,$A3=$A4)</formula>
    </cfRule>
  </conditionalFormatting>
  <conditionalFormatting sqref="AF4:AF1000">
    <cfRule type="expression" priority="21" dxfId="1">
      <formula>AND(LEN($A3)&lt;&gt;0,LEN($A4)&lt;&gt;0,$A3=$A4)</formula>
    </cfRule>
  </conditionalFormatting>
  <conditionalFormatting sqref="AG4:AG1000">
    <cfRule type="expression" priority="54" dxfId="1">
      <formula>AND(LEN($A3)&lt;&gt;0,LEN($A4)&lt;&gt;0,$A3=$A4)</formula>
    </cfRule>
  </conditionalFormatting>
  <conditionalFormatting sqref="AH4:AH1000">
    <cfRule type="expression" priority="53" dxfId="1">
      <formula>AND(LEN($A3)&lt;&gt;0,LEN($A4)&lt;&gt;0,$A3=$A4)</formula>
    </cfRule>
  </conditionalFormatting>
  <conditionalFormatting sqref="AI3:AI1000">
    <cfRule type="expression" priority="176" dxfId="2">
      <formula>AND(OR(RIGHT($Q3,8)="Province",RIGHT($Q3,4)="City",RIGHT($Q3,6)="County",RIGHT($Q3,8)="District",RIGHT($Q3,8)="Township"),ISBLANK($AI3),ISBLANK($AJ3))</formula>
    </cfRule>
    <cfRule type="expression" priority="177" dxfId="2">
      <formula>AND(OR(RIGHT($Q3,1)="省",RIGHT($Q3,1)="市",RIGHT($Q3,1)="区",RIGHT($Q3,1)="县",RIGHT($Q3,1)="镇",RIGHT($Q3,1)="乡"),ISBLANK($AI3),ISBLANK($AJ3))</formula>
    </cfRule>
    <cfRule type="expression" priority="178" dxfId="2">
      <formula>AND(OR(RIGHT($Q3,1)="省",RIGHT($Q3,1)="市",RIGHT($Q3,1)="區",RIGHT($Q3,1)="縣",RIGHT($Q3,1)="鎮",RIGHT($Q3,1)="鄉"),ISBLANK($AI3),ISBLANK($AJ3))</formula>
    </cfRule>
    <cfRule type="expression" priority="179" dxfId="2">
      <formula>AND(OR($G3="澳门",$G3="澳門",$G3="Macau",$G3="澳門/Macau"),OR($Q3="香港",$Q3="中國香港",$Q3="香港特別行政區",$Q3="台灣",$Q3="中國台灣"),ISBLANK($AI3),ISBLANK($AJ3))</formula>
    </cfRule>
    <cfRule type="expression" priority="180" dxfId="2">
      <formula>AND(OR($G3="澳门",$G3="澳門",$G3="Macau",$G3="澳門/Macau"),OR($Q3="香港",$Q3="中国香港",$Q3="香港特别行政区",$Q3="台湾",$Q3="中国台湾"),ISBLANK($AI3),ISBLANK($AJ3))</formula>
    </cfRule>
    <cfRule type="expression" priority="181" dxfId="2">
      <formula>AND(OR($G3="澳门",$G3="澳門",$G3="Macau",$G3="澳門/Macau"),OR($Q3="Hong Kong",$Q3="Hong Kong, China",$Q3="HK",$Q3="HKSAR",$Q3="Taiwan",$Q3="Taiwan, China"),ISBLANK($AI3),ISBLANK($AJ3))</formula>
    </cfRule>
    <cfRule type="expression" priority="182" dxfId="2">
      <formula>AND(OR($G3="香港",$G3="Hong Kong",$G3="香港/Hong Kong"),OR($Q3="Macau",$Q3="Macau, China",$Q3="Taiwan",$Q3="Taiwan, China"),ISBLANK($AI3),ISBLANK($AJ3))</formula>
    </cfRule>
    <cfRule type="expression" priority="183" dxfId="2">
      <formula>AND(OR($G3="香港",$G3="Hong Kong",$G3="香港/Hong Kong"),OR($Q3="澳门",$Q3="中国澳门",$Q3="澳门特别行政区",$Q3="台湾",$Q3="中国台湾"),ISBLANK($AI3),ISBLANK($AJ3))</formula>
    </cfRule>
    <cfRule type="expression" priority="184" dxfId="2">
      <formula>AND(OR($G3="香港",$G3="Hong Kong",$G3="香港/Hong Kong"),OR($Q3="澳門",$Q3="中國澳門",$Q3="澳門特別行政區",$Q3="台灣",$Q3="中國台灣"),ISBLANK($AI3),ISBLANK($AJ3))</formula>
    </cfRule>
  </conditionalFormatting>
  <conditionalFormatting sqref="AI4:AI1000">
    <cfRule type="expression" priority="175" dxfId="1">
      <formula>AND(LEN($A3)&lt;&gt;0,LEN($A4)&lt;&gt;0,$A3=$A4)</formula>
    </cfRule>
  </conditionalFormatting>
  <conditionalFormatting sqref="AJ3:AJ1000">
    <cfRule type="expression" priority="49" dxfId="1">
      <formula>AND(OR($AI3="寄付現結/Pay by Sender",$AI3="寄付现结",$AI3="寄付現結",$AI3="Pay by Sender"),COUNTBLANK($AJ$3)=1)</formula>
    </cfRule>
    <cfRule type="expression" priority="156" dxfId="2">
      <formula>AND(OR(RIGHT($Q3,1)="省",RIGHT($Q3,1)="市",RIGHT($Q3,1)="區",RIGHT($Q3,1)="縣",RIGHT($Q3,1)="鎮",RIGHT($Q3,1)="鄉"),ISBLANK($AI3),ISBLANK($AJ3))</formula>
    </cfRule>
    <cfRule type="expression" priority="157" dxfId="2">
      <formula>AND(OR(RIGHT($Q3,1)="省",RIGHT($Q3,1)="市",RIGHT($Q3,1)="区",RIGHT($Q3,1)="县",RIGHT($Q3,1)="镇",RIGHT($Q3,1)="乡"),ISBLANK($AI3),ISBLANK($AJ3))</formula>
    </cfRule>
    <cfRule type="expression" priority="158" dxfId="2">
      <formula>AND(OR(RIGHT($Q3,8)="Province",RIGHT($Q3,4)="City",RIGHT($Q3,6)="County",RIGHT($Q3,8)="District",RIGHT($Q3,8)="Township"),ISBLANK($AI3),ISBLANK($AJ3))</formula>
    </cfRule>
    <cfRule type="expression" priority="159" dxfId="2">
      <formula>AND(OR($G3="澳门",$G3="澳門",$G3="Macau",$G3="澳門/Macau"),OR($Q3="Hong Kong",$Q3="Hong Kong, China",$Q3="HK",$Q3="HKSAR",$Q3="Taiwan",$Q3="Taiwan, China"),ISBLANK($AI3),ISBLANK($AJ3))</formula>
    </cfRule>
    <cfRule type="expression" priority="160" dxfId="2">
      <formula>AND(OR($G3="澳门",$G3="澳門",$G3="Macau",$G3="澳門/Macau"),OR($Q3="香港",$Q3="中国香港",$Q3="香港特别行政区",$Q3="台湾",$Q3="中国台湾"),ISBLANK($AI3),ISBLANK($AJ3))</formula>
    </cfRule>
    <cfRule type="expression" priority="161" dxfId="2">
      <formula>AND(OR($G3="澳门",$G3="澳門",$G3="Macau",$G3="澳門/Macau"),OR($Q3="香港",$Q3="中國香港",$Q3="香港特別行政區",$Q3="台灣",$Q3="中國台灣"),ISBLANK($AI3),ISBLANK($AJ3))</formula>
    </cfRule>
    <cfRule type="expression" priority="162" dxfId="2">
      <formula>AND(OR($G3="香港",$G3="Hong Kong",$G3="香港/Hong Kong"),OR($Q3="Macau",$Q3="Macau, China",$Q3="Taiwan",$Q3="Taiwan, China"),ISBLANK($AI3),ISBLANK($AJ3))</formula>
    </cfRule>
    <cfRule type="expression" priority="163" dxfId="2">
      <formula>AND(OR($G3="香港",$G3="Hong Kong",$G3="香港/Hong Kong"),OR($Q3="澳门",$Q3="中国澳门",$Q3="澳门特别行政区",$Q3="台湾",$Q3="中国台湾"),ISBLANK($AI3),ISBLANK($AJ3))</formula>
    </cfRule>
    <cfRule type="expression" priority="164" dxfId="2">
      <formula>AND(OR($G3="香港",$G3="Hong Kong",$G3="香港/Hong Kong"),OR($Q3="澳門",$Q3="中國澳門",$Q3="澳門特別行政區",$Q3="台灣",$Q3="中國台灣"),ISBLANK($AI3),ISBLANK($AJ3))</formula>
    </cfRule>
    <cfRule type="expression" priority="165" dxfId="2">
      <formula>AND(OR(RIGHT($Q3,1)="省",RIGHT($Q3,1)="市",RIGHT($Q3,1)="區",RIGHT($Q3,1)="縣",RIGHT($Q3,1)="鎮",RIGHT($Q3,1)="鄉"),OR($AI3="寄付月結/Pay by Sender (Credit Account)",$AI3="寄付月结",$AI3="寄付月結",$AI3="Pay by Sender (Credit Account)"),ISBLANK($AJ3))</formula>
    </cfRule>
    <cfRule type="expression" priority="166" dxfId="2">
      <formula>AND(OR(RIGHT($Q3,1)="省",RIGHT($Q3,1)="市",RIGHT($Q3,1)="区",RIGHT($Q3,1)="县",RIGHT($Q3,1)="镇",RIGHT($Q3,1)="乡"),OR($AI3="寄付月結/Pay by Sender (Credit Account)",$AI3="寄付月结",$AI3="寄付月結",$AI3="Pay by Sender (Credit Account)"),ISBLANK($AJ3))</formula>
    </cfRule>
    <cfRule type="expression" priority="167" dxfId="2">
      <formula>AND(OR(RIGHT($Q3,8)="Province",RIGHT($Q3,4)="City",RIGHT($Q3,6)="County",RIGHT($Q3,8)="District",RIGHT($Q3,8)="Township"),OR($AI3="寄付月結/Pay by Sender (Credit Account)",$AI3="寄付月结",$AI3="寄付月結",$AI3="Pay by Sender (Credit Account)"),ISBLANK($AJ3))</formula>
    </cfRule>
    <cfRule type="expression" priority="168" dxfId="2">
      <formula>AND(OR($G3="澳门",$G3="澳門",$G3="Macau",$G3="澳門/Macau"),OR($Q3="Hong Kong",$Q3="Hong Kong, China",$Q3="HK",$Q3="HKSAR",$Q3="Taiwan",$Q3="Taiwan, China"),OR($AI3="寄付月結/Pay by Sender (Credit Account)",$AI3="寄付月结",$AI3="寄付月結",$AI3="Pay by Sender (Credit Account)"),ISBLANK($AJ3))</formula>
    </cfRule>
    <cfRule type="expression" priority="169" dxfId="2">
      <formula>AND(OR($G3="澳门",$G3="澳門",$G3="Macau",$G3="澳門/Macau"),OR($Q3="香港",$Q3="中国香港",$Q3="香港特别行政区",$Q3="台湾",$Q3="中国台湾"),OR($AI3="寄付月結/Pay by Sender (Credit Account)",$AI3="寄付月结",$AI3="寄付月結",$AI3="Pay by Sender (Credit Account)"),ISBLANK($AJ3))</formula>
    </cfRule>
    <cfRule type="expression" priority="170" dxfId="2">
      <formula>AND(OR($G3="澳门",$G3="澳門",$G3="Macau",$G3="澳門/Macau"),OR($Q3="香港",$Q3="中國香港",$Q3="香港特別行政區",$Q3="台灣",$Q3="中國台灣"),OR($AI3="寄付月結/Pay by Sender (Credit Account)",$AI3="寄付月结",$AI3="寄付月結",$AI3="Pay by Sender (Credit Account)"),ISBLANK($AJ3))</formula>
    </cfRule>
    <cfRule type="expression" priority="171" dxfId="2">
      <formula>AND(OR($G3="香港",$G3="Hong Kong",$G3="香港/Hong Kong"),OR($Q3="Macau",$Q3="Macau, China",$Q3="Taiwan",$Q3="Taiwan, China"),OR($AI3="寄付月結/Pay by Sender (Credit Account)",$AI3="寄付月结",$AI3="寄付月結",$AI3="Pay by Sender (Credit Account)"),ISBLANK($AJ3))</formula>
    </cfRule>
    <cfRule type="expression" priority="172" dxfId="2">
      <formula>AND(OR($G3="香港",$G3="Hong Kong",$G3="香港/Hong Kong"),OR($Q3="澳门",$Q3="中国澳门",$Q3="澳门特别行政区",$Q3="台湾",$Q3="中国台湾"),OR($AI3="寄付月結/Pay by Sender (Credit Account)",$AI3="寄付月结",$AI3="寄付月結",$AI3="Pay by Sender (Credit Account)"),ISBLANK($AJ3))</formula>
    </cfRule>
    <cfRule type="expression" priority="173" dxfId="2">
      <formula>AND(OR($G3="香港",$G3="Hong Kong",$G3="香港/Hong Kong"),OR($Q3="澳門",$Q3="中國澳門",$Q3="澳門特別行政區",$Q3="台灣",$Q3="中國台灣"),OR($AI3="寄付月結/Pay by Sender (Credit Account)",$AI3="寄付月结",$AI3="寄付月結",$AI3="Pay by Sender (Credit Account)"),ISBLANK($AJ3))</formula>
    </cfRule>
    <cfRule type="expression" priority="174" dxfId="1">
      <formula>AND(OR($AI3="到付/Pay by Recipient",$AI3="到付",$AI3="Pay by Recipient"),COUNTBLANK($AJ$3)=1)</formula>
    </cfRule>
  </conditionalFormatting>
  <conditionalFormatting sqref="AJ4:AJ1000">
    <cfRule type="expression" priority="155" dxfId="1">
      <formula>AND(LEN($A3)&lt;&gt;0,LEN($A4)&lt;&gt;0,$A3=$A4)</formula>
    </cfRule>
  </conditionalFormatting>
  <conditionalFormatting sqref="AK3:AK1000">
    <cfRule type="expression" priority="188" dxfId="4">
      <formula>AND($AK3&lt;TODAY(),COUNTBLANK($AK3)=0)</formula>
    </cfRule>
    <cfRule type="expression" priority="189" dxfId="4">
      <formula>AND($AK3&gt;TODAY()+2,COUNTBLANK($AK3)=0)</formula>
    </cfRule>
    <cfRule type="expression" priority="190" dxfId="2">
      <formula>AND(COUNTBLANK($AK3)=1,COUNTBLANK($AL3)=0)</formula>
    </cfRule>
  </conditionalFormatting>
  <conditionalFormatting sqref="AK4:AK1000">
    <cfRule type="expression" priority="187" dxfId="1">
      <formula>AND(LEN($A3)&lt;&gt;0,LEN($A4)&lt;&gt;0,$A3=$A4)</formula>
    </cfRule>
  </conditionalFormatting>
  <conditionalFormatting sqref="AL3:AL1000">
    <cfRule type="expression" priority="186" dxfId="2">
      <formula>AND(COUNTBLANK($AK3)=0,COUNTBLANK($AL3)=1)</formula>
    </cfRule>
  </conditionalFormatting>
  <conditionalFormatting sqref="AL4:AL100">
    <cfRule type="expression" priority="185" dxfId="1">
      <formula>AND(LEN($A3)&lt;&gt;0,LEN($A4)&lt;&gt;0,$A3=$A4)</formula>
    </cfRule>
  </conditionalFormatting>
  <conditionalFormatting sqref="AM4:AM1000">
    <cfRule type="expression" priority="72" dxfId="1">
      <formula>AND(LEN($A3)&lt;&gt;0,LEN($A4)&lt;&gt;0,$A3=$A4)</formula>
    </cfRule>
  </conditionalFormatting>
  <conditionalFormatting sqref="AN4:AN1000">
    <cfRule type="expression" priority="52" dxfId="1">
      <formula>AND(LEN($A3)&lt;&gt;0,LEN($A4)&lt;&gt;0,$A3=$A4)</formula>
    </cfRule>
  </conditionalFormatting>
  <conditionalFormatting sqref="AO4:AO1000">
    <cfRule type="expression" priority="51" dxfId="1">
      <formula>AND(LEN($A3)&lt;&gt;0,LEN($A4)&lt;&gt;0,$A3=$A4)</formula>
    </cfRule>
  </conditionalFormatting>
  <conditionalFormatting sqref="AP3:AP1000">
    <cfRule type="expression" priority="192" dxfId="2">
      <formula>AND(COUNT(SEARCH(4,AO3))&lt;&gt;0,ISBLANK($AP3))</formula>
    </cfRule>
  </conditionalFormatting>
  <conditionalFormatting sqref="AP4:AP1000">
    <cfRule type="expression" priority="191" dxfId="1">
      <formula>AND(LEN($A3)&lt;&gt;0,LEN($A4)&lt;&gt;0,$A3=$A4)</formula>
    </cfRule>
  </conditionalFormatting>
  <conditionalFormatting sqref="AQ4:AQ1000">
    <cfRule type="expression" priority="50" dxfId="1">
      <formula>AND(LEN($A3)&lt;&gt;0,LEN($A4)&lt;&gt;0,$A3=$A4)</formula>
    </cfRule>
  </conditionalFormatting>
  <conditionalFormatting sqref="AR3:AR1000">
    <cfRule type="expression" priority="195" dxfId="2">
      <formula>AND(COUNTBLANK($AR3)=1,COUNTBLANK($AS3)=0)</formula>
    </cfRule>
  </conditionalFormatting>
  <conditionalFormatting sqref="AR4:AR1000">
    <cfRule type="expression" priority="194" dxfId="1">
      <formula>AND(LEN($A3)&lt;&gt;0,LEN($A4)&lt;&gt;0,$A3=$A4)</formula>
    </cfRule>
  </conditionalFormatting>
  <conditionalFormatting sqref="AS3:AS1000">
    <cfRule type="expression" priority="196" dxfId="2">
      <formula>AND(COUNTBLANK($AR3)=0,COUNTBLANK($AS3)=1)</formula>
    </cfRule>
  </conditionalFormatting>
  <conditionalFormatting sqref="AS4:AS1000">
    <cfRule type="expression" priority="193" dxfId="1">
      <formula>AND(LEN($A3)&lt;&gt;0,LEN($A4)&lt;&gt;0,$A3=$A4)</formula>
    </cfRule>
  </conditionalFormatting>
  <conditionalFormatting sqref="AT3:AT1000">
    <cfRule type="expression" priority="30" dxfId="2">
      <formula>AND(OR($Q3="Macau",$Q3="Macau,China"),($AD3&gt;=20),ISBLANK($AT3))</formula>
    </cfRule>
    <cfRule type="expression" priority="31" dxfId="2">
      <formula>AND(OR($Q3="澳门",$Q3="中国澳门",$Q3="澳门特别行政区"),($AD3&gt;=20),ISBLANK($AT3))</formula>
    </cfRule>
    <cfRule type="expression" priority="32" dxfId="2">
      <formula>AND(OR($Q3="澳門",$Q3="中國澳門",$Q3="澳門特別行政區"),($AD3&gt;=20),ISBLANK($AT3))</formula>
    </cfRule>
    <cfRule type="expression" priority="33" dxfId="2">
      <formula>AND(OR($Q3="Hong Kong",$Q3="Hong Kong,China",$Q3="HK",$Q3="HKSAR"),($AD3&gt;=20),ISBLANK($AT3))</formula>
    </cfRule>
    <cfRule type="expression" priority="34" dxfId="2">
      <formula>AND(OR($Q3="香港",$Q3="中国香港",$Q3="香港特别行政区"),($AD3&gt;=20),ISBLANK($AT3))</formula>
    </cfRule>
    <cfRule type="expression" priority="36" dxfId="2">
      <formula>AND(OR($Q3="香港",$Q3="中國香港",$Q3="香港特別行政區"),($AD3&gt;=20),ISBLANK($AT3))</formula>
    </cfRule>
  </conditionalFormatting>
  <conditionalFormatting sqref="AT4:AT1000">
    <cfRule type="expression" priority="35" dxfId="1">
      <formula>AND(LEN($A3)&lt;&gt;0,LEN($A4)&lt;&gt;0,$A3=$A4)</formula>
    </cfRule>
  </conditionalFormatting>
  <conditionalFormatting sqref="AU3:AU1000">
    <cfRule type="expression" priority="23" dxfId="1">
      <formula>COUNT(SEARCH("送貨上樓（無需行樓梯）/Upstairs Delivery (no climb stairs required)",$AT3))&lt;&gt;0</formula>
    </cfRule>
    <cfRule type="expression" priority="24" dxfId="2">
      <formula>AND(OR($AT3="送貨上樓（需行樓梯）",$AT3="Upstairs Delivery (climb stairs required)",$AT3="送貨上樓（需行樓梯）/Upstairs Delivery (climb stairs required)"),ISBLANK($AU3))</formula>
    </cfRule>
    <cfRule type="expression" priority="25" dxfId="1">
      <formula>COUNT(SEARCH("自提點/樓下自取/Self-pickup/Ground floor pickup",$AT3))&lt;&gt;0</formula>
    </cfRule>
  </conditionalFormatting>
  <conditionalFormatting sqref="AU4:AU1000">
    <cfRule type="expression" priority="22" dxfId="1">
      <formula>AND(LEN($A3)&lt;&gt;0,LEN($A4)&lt;&gt;0,$A3=$A4)</formula>
    </cfRule>
  </conditionalFormatting>
  <conditionalFormatting sqref="AV3:AV1000">
    <cfRule type="expression" priority="8" dxfId="2">
      <formula>AND($AW3&lt;&gt;"",$AV3="")</formula>
    </cfRule>
    <cfRule type="expression" priority="6" dxfId="2">
      <formula>AND($AX3&lt;&gt;"",$AV3="")</formula>
    </cfRule>
  </conditionalFormatting>
  <conditionalFormatting sqref="AV5:AV1000">
    <cfRule type="expression" priority="15" dxfId="1">
      <formula>AND(LEN($A4)&lt;&gt;0,LEN($A5)&lt;&gt;0,$A4=$A5)</formula>
    </cfRule>
  </conditionalFormatting>
  <conditionalFormatting sqref="AW3:AW1000">
    <cfRule type="expression" priority="11" dxfId="1">
      <formula>OR($AV3="不選擇",$AV3="不选择",$AV3="No card")</formula>
    </cfRule>
    <cfRule type="expression" priority="10" dxfId="2">
      <formula>AND($AV3&lt;&gt;"",$AW3="",NOT(OR($AV3="No card",$AV3="不选择",$AV3="不選擇")))</formula>
    </cfRule>
    <cfRule type="expression" priority="5" dxfId="2">
      <formula>AND($AX3&lt;&gt;"",$AW3="")</formula>
    </cfRule>
  </conditionalFormatting>
  <conditionalFormatting sqref="AW4:AW1000">
    <cfRule type="expression" priority="14" dxfId="1">
      <formula>AND(LEN($A3)&lt;&gt;0,LEN($A4)&lt;&gt;0,$A3=$A4)</formula>
    </cfRule>
  </conditionalFormatting>
  <conditionalFormatting sqref="AX3:AX1000">
    <cfRule type="expression" priority="12" dxfId="1">
      <formula>OR($AV3="不選擇",$AV3="不选择",$AV3="No card")</formula>
    </cfRule>
    <cfRule type="expression" priority="9" dxfId="2">
      <formula>AND($AV3&lt;&gt;"",$AX3="",NOT(OR($AV3="No card",$AV3="不选择",$AV3="不選擇")))</formula>
    </cfRule>
    <cfRule type="expression" priority="7" dxfId="2">
      <formula>AND($AW3&lt;&gt;"",$AX3="")</formula>
    </cfRule>
  </conditionalFormatting>
  <conditionalFormatting sqref="AX4:AX1000">
    <cfRule type="expression" priority="13" dxfId="1">
      <formula>AND(LEN($A3)&lt;&gt;0,LEN($A4)&lt;&gt;0,$A3=$A4)</formula>
    </cfRule>
  </conditionalFormatting>
  <conditionalFormatting sqref="BA4:BA1000">
    <cfRule type="expression" priority="1" dxfId="1">
      <formula>AND(LEN($A3)&lt;&gt;0,LEN($A4)&lt;&gt;0,$A3=$A4)</formula>
    </cfRule>
  </conditionalFormatting>
  <conditionalFormatting sqref="AY3:AY5 AY7:AY1000">
    <cfRule type="expression" priority="20" dxfId="4">
      <formula>AND($AY3&lt;TODAY(),COUNTBLANK($AY3)=0)</formula>
    </cfRule>
    <cfRule type="expression" priority="19" dxfId="4">
      <formula>AND($AZ3&lt;&gt;"",$AY3="")</formula>
    </cfRule>
  </conditionalFormatting>
  <conditionalFormatting sqref="AZ3:AZ5 AZ7:AZ1000">
    <cfRule type="expression" priority="17" dxfId="2">
      <formula>AND($AY3&lt;&gt;"",$AZ3="")</formula>
    </cfRule>
  </conditionalFormatting>
  <conditionalFormatting sqref="AY4:AY5 AY7:AY1000">
    <cfRule type="expression" priority="18" dxfId="1">
      <formula>AND(LEN($A3)&lt;&gt;0,LEN($A4)&lt;&gt;0,$A3=$A4)</formula>
    </cfRule>
  </conditionalFormatting>
  <conditionalFormatting sqref="AZ4:AZ5 AZ7:AZ1000">
    <cfRule type="expression" priority="16" dxfId="1">
      <formula>AND(LEN($A3)&lt;&gt;0,LEN($A4)&lt;&gt;0,$A3=$A4)</formula>
    </cfRule>
  </conditionalFormatting>
  <dataValidations count="15">
    <dataValidation sqref="AX1 AX3:AX1048576" showDropDown="0" showInputMessage="1" showErrorMessage="1" allowBlank="1" type="list">
      <formula1>'元素 Info'!$O$2:$O$7</formula1>
    </dataValidation>
    <dataValidation sqref="C1 C3:C1048547" showDropDown="0" showInputMessage="1" showErrorMessage="1" allowBlank="1" type="list">
      <formula1>'元素 Info'!$B$2:$B$4</formula1>
    </dataValidation>
    <dataValidation sqref="G1 G3 G4 G5:G1048547" showDropDown="0" showInputMessage="1" showErrorMessage="1" allowBlank="1" type="list">
      <formula1>寄件方城市</formula1>
    </dataValidation>
    <dataValidation sqref="L1 L3:L1048547" showDropDown="0" showInputMessage="1" showErrorMessage="1" allowBlank="1" type="list">
      <formula1>'元素 Info'!$C$2:$C$5</formula1>
    </dataValidation>
    <dataValidation sqref="C2 D2 E2 G2 H2 I2 J2 L2 M2 N2 P2 Q2 R2 S2 T2 U1:U2 U101:U119 U120:U139 U140:U170 U171:U187 U188:U204 U205:U214 U215:U1048547 V2 W1:AC1 Z2 AB2 AC2 AG1 AG2 AH1:AJ1 AH2 AI2 AJ2 AK1:AL1 AK2 AQ2 AT2" showDropDown="0" showInputMessage="1" showErrorMessage="1" allowBlank="1"/>
    <dataValidation sqref="AQ1 AQ3:AQ1048547" showDropDown="0" showInputMessage="1" showErrorMessage="1" allowBlank="1" type="list">
      <formula1>'元素 Info'!$K$2</formula1>
    </dataValidation>
    <dataValidation sqref="U3 U4:U91 U92:U100" showDropDown="0" showInputMessage="1" showErrorMessage="1" allowBlank="1" type="list">
      <formula1>IF(O3&lt;&gt;"",'元素 Info'!$D$5,'元素 Info'!$D$2:$D$4)</formula1>
    </dataValidation>
    <dataValidation sqref="AT1 AT3:AT1048576" showDropDown="0" showInputMessage="1" showErrorMessage="1" allowBlank="1" type="list">
      <formula1>'元素 Info'!$M$2:$M$4</formula1>
    </dataValidation>
    <dataValidation sqref="AG3 AG4:AG1048547" showDropDown="0" showInputMessage="1" showErrorMessage="1" allowBlank="1" type="list">
      <formula1>'元素 Info'!$I$2:$I$17</formula1>
    </dataValidation>
    <dataValidation sqref="Z3:Z1048547" showDropDown="0" showInputMessage="1" showErrorMessage="1" allowBlank="1" type="list">
      <formula1>'元素 Info'!$E$2:$E$38</formula1>
    </dataValidation>
    <dataValidation sqref="AB3:AB1048547" showDropDown="0" showInputMessage="1" showErrorMessage="1" allowBlank="1" type="list">
      <formula1>'元素 Info'!$F$2:$F$12</formula1>
    </dataValidation>
    <dataValidation sqref="AC3:AC1048547" showDropDown="0" showInputMessage="1" showErrorMessage="1" allowBlank="1" type="list">
      <formula1>'元素 Info'!$G$2:$G$242</formula1>
    </dataValidation>
    <dataValidation sqref="AH3:AH1048547" showDropDown="0" showInputMessage="1" showErrorMessage="1" allowBlank="1" type="list">
      <formula1>'元素 Info'!$H$2:$H$4</formula1>
    </dataValidation>
    <dataValidation sqref="AI3:AI1048547" showDropDown="0" showInputMessage="1" showErrorMessage="1" allowBlank="1" type="list">
      <formula1>'元素 Info'!$J$2:$J$4</formula1>
    </dataValidation>
    <dataValidation sqref="AK3:AK1048576" showDropDown="0" showInputMessage="1" showErrorMessage="1" allowBlank="1" type="list">
      <formula1>'元素 Info'!$L$2:$L$4</formula1>
    </dataValidation>
  </dataValidations>
  <pageMargins left="0.7" right="0.7" top="0.75" bottom="0.75" header="0.3" footer="0.3"/>
  <pageSetup orientation="portrait" paperSize="9"/>
  <legacyDrawing xmlns:r="http://schemas.openxmlformats.org/officeDocument/2006/relationships" r:id="anysvml"/>
</worksheet>
</file>

<file path=xl/worksheets/sheet4.xml><?xml version="1.0" encoding="utf-8"?>
<worksheet xmlns="http://schemas.openxmlformats.org/spreadsheetml/2006/main">
  <sheetPr codeName="Sheet4">
    <outlinePr summaryBelow="1" summaryRight="1"/>
    <pageSetUpPr/>
  </sheetPr>
  <dimension ref="A1:B8"/>
  <sheetViews>
    <sheetView workbookViewId="0">
      <selection activeCell="A9" sqref="A9"/>
    </sheetView>
  </sheetViews>
  <sheetFormatPr baseColWidth="8" defaultColWidth="9" defaultRowHeight="16.5" outlineLevelRow="7"/>
  <cols>
    <col width="20.625" customWidth="1" style="142" min="1" max="1"/>
    <col width="20.625" customWidth="1" style="93" min="2" max="2"/>
    <col width="9" customWidth="1" style="89" min="3" max="16384"/>
  </cols>
  <sheetData>
    <row r="1" ht="30" customHeight="1" s="143">
      <c r="A1" s="4" t="inlineStr">
        <is>
          <t>模板版本
Template Version</t>
        </is>
      </c>
      <c r="B1" s="4" t="inlineStr">
        <is>
          <t>更新時間
Update Date</t>
        </is>
      </c>
    </row>
    <row r="2">
      <c r="A2" s="144" t="inlineStr">
        <is>
          <t>1.0</t>
        </is>
      </c>
      <c r="B2" s="6" t="n">
        <v>45238</v>
      </c>
    </row>
    <row r="3">
      <c r="A3" s="144" t="inlineStr">
        <is>
          <t>1.1</t>
        </is>
      </c>
      <c r="B3" s="6" t="n">
        <v>45322</v>
      </c>
    </row>
    <row r="4">
      <c r="A4" s="93" t="n">
        <v>1.2</v>
      </c>
      <c r="B4" s="6" t="n">
        <v>45714</v>
      </c>
    </row>
    <row r="5">
      <c r="A5" s="93" t="n">
        <v>1.3</v>
      </c>
      <c r="B5" s="6" t="n">
        <v>45771</v>
      </c>
    </row>
    <row r="6">
      <c r="A6" s="93" t="n">
        <v>1.4</v>
      </c>
      <c r="B6" s="6" t="n">
        <v>45812</v>
      </c>
    </row>
    <row r="7">
      <c r="A7" s="93" t="n">
        <v>1.5</v>
      </c>
      <c r="B7" s="6" t="n">
        <v>45919</v>
      </c>
    </row>
    <row r="8">
      <c r="A8" s="93" t="n">
        <v>1.6</v>
      </c>
      <c r="B8" s="6" t="n">
        <v>46052</v>
      </c>
    </row>
  </sheetData>
  <sheetProtection selectLockedCells="0" selectUnlockedCells="0" sheet="1" objects="1" insertRows="1" insertHyperlinks="1" autoFilter="1" scenarios="0" formatColumns="1" deleteColumns="1" insertColumns="1" pivotTables="1" deleteRows="1" formatCells="1" formatRows="1" sort="1"/>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2024-11-22T02:06:00Z</dcterms:created>
  <dcterms:modified xmlns:dcterms="http://purl.org/dc/terms/" xmlns:xsi="http://www.w3.org/2001/XMLSchema-instance" xsi:type="dcterms:W3CDTF">2026-06-17T15:30:16Z</dcterms:modified>
  <cp:lastModifiedBy>Administrator</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2052-11.8.2.12287</vt:lpwstr>
  </property>
  <property name="ICV" fmtid="{D5CDD505-2E9C-101B-9397-08002B2CF9AE}" pid="3">
    <vt:lpwstr xmlns:vt="http://schemas.openxmlformats.org/officeDocument/2006/docPropsVTypes">DD09499F9D694E4194478D6F4D7C71D6</vt:lpwstr>
  </property>
</Properties>
</file>