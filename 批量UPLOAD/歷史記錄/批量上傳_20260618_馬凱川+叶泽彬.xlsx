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8125" windowHeight="12540" tabRatio="600" firstSheet="0" activeTab="0" autoFilterDateGrouping="1"/>
  </bookViews>
  <sheets>
    <sheet xmlns:r="http://schemas.openxmlformats.org/officeDocument/2006/relationships" name="運單訊息內容 Order Content" sheetId="1" state="visible" r:id="rId1"/>
    <sheet xmlns:r="http://schemas.openxmlformats.org/officeDocument/2006/relationships" name="元素 Info" sheetId="2" state="visible" r:id="rId2"/>
    <sheet xmlns:r="http://schemas.openxmlformats.org/officeDocument/2006/relationships" name="例子 Sample" sheetId="3" state="visible" r:id="rId3"/>
    <sheet xmlns:r="http://schemas.openxmlformats.org/officeDocument/2006/relationships" name="模板版本 Template Version" sheetId="4" state="visible" r:id="rId4"/>
  </sheets>
  <definedNames>
    <definedName name="寄件方城市">'元素 Info'!$A$2:$A$3</definedName>
    <definedName name="寄件方香港地區">'元素 Info'!#REF!</definedName>
    <definedName name="寄件方澳門地區">'元素 Info'!#REF!</definedName>
  </definedNames>
  <calcPr calcId="144525" fullCalcOnLoad="1"/>
</workbook>
</file>

<file path=xl/styles.xml><?xml version="1.0" encoding="utf-8"?>
<styleSheet xmlns="http://schemas.openxmlformats.org/spreadsheetml/2006/main">
  <numFmts count="4">
    <numFmt numFmtId="164" formatCode="0.00_);[Red]\(0.00\)"/>
    <numFmt numFmtId="165" formatCode="yyyy\-mm\-dd"/>
    <numFmt numFmtId="166" formatCode="h:mm;@"/>
    <numFmt numFmtId="167" formatCode="@&quot;（&quot;&quot;不&quot;&quot;需&quot;&quot;填&quot;&quot;寫&quot;&quot;詳&quot;&quot;細&quot;&quot;地&quot;&quot;址&quot;&quot;訊&quot;&quot;息&quot;&quot;）&quot;"/>
  </numFmts>
  <fonts count="32">
    <font>
      <name val="宋体"/>
      <charset val="134"/>
      <color theme="1"/>
      <sz val="11"/>
      <scheme val="minor"/>
    </font>
    <font>
      <name val="微软雅黑"/>
      <charset val="134"/>
      <color theme="1"/>
      <sz val="11"/>
    </font>
    <font>
      <name val="微软雅黑"/>
      <charset val="134"/>
      <b val="1"/>
      <color theme="1"/>
      <sz val="11"/>
    </font>
    <font>
      <name val="微软雅黑"/>
      <charset val="134"/>
      <b val="1"/>
      <color rgb="FFFF0000"/>
      <sz val="11"/>
    </font>
    <font>
      <name val="微软雅黑"/>
      <charset val="134"/>
      <b val="1"/>
      <sz val="11"/>
    </font>
    <font>
      <name val="微软雅黑"/>
      <charset val="134"/>
      <color theme="1"/>
      <sz val="10"/>
    </font>
    <font>
      <name val="微软雅黑"/>
      <charset val="134"/>
      <sz val="11"/>
    </font>
    <font>
      <name val="宋体"/>
      <charset val="0"/>
      <color rgb="FF800080"/>
      <sz val="11"/>
      <u val="single"/>
      <scheme val="minor"/>
    </font>
    <font>
      <name val="微软雅黑"/>
      <charset val="0"/>
      <color rgb="FF800080"/>
      <sz val="11"/>
      <u val="single"/>
    </font>
    <font>
      <name val="微软雅黑"/>
      <charset val="0"/>
      <color rgb="FF800080"/>
      <sz val="11"/>
    </font>
    <font>
      <name val="微软雅黑"/>
      <charset val="134"/>
      <b val="1"/>
      <color theme="1"/>
      <sz val="10"/>
    </font>
    <font>
      <name val="微软雅黑"/>
      <charset val="134"/>
      <sz val="10"/>
    </font>
    <font>
      <name val="微软雅黑"/>
      <charset val="134"/>
      <color rgb="FFFF0000"/>
      <sz val="11"/>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9"/>
    </font>
  </fonts>
  <fills count="40">
    <fill>
      <patternFill/>
    </fill>
    <fill>
      <patternFill patternType="gray125"/>
    </fill>
    <fill>
      <patternFill patternType="solid">
        <fgColor theme="0" tint="-0.15"/>
        <bgColor indexed="64"/>
      </patternFill>
    </fill>
    <fill>
      <patternFill patternType="solid">
        <fgColor rgb="FFFFF2CC"/>
        <bgColor indexed="64"/>
      </patternFill>
    </fill>
    <fill>
      <patternFill patternType="solid">
        <fgColor theme="3" tint="0.8"/>
        <bgColor indexed="64"/>
      </patternFill>
    </fill>
    <fill>
      <patternFill patternType="solid">
        <fgColor theme="9" tint="0.8"/>
        <bgColor indexed="64"/>
      </patternFill>
    </fill>
    <fill>
      <patternFill patternType="solid">
        <fgColor theme="6" tint="0.8"/>
        <bgColor indexed="64"/>
      </patternFill>
    </fill>
    <fill>
      <patternFill patternType="solid">
        <fgColor rgb="FFFFE699"/>
        <bgColor indexed="64"/>
      </patternFill>
    </fill>
    <fill>
      <patternFill patternType="solid">
        <fgColor rgb="FFD5D5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3" fillId="9" borderId="0" applyAlignment="1">
      <alignment vertical="center"/>
    </xf>
    <xf numFmtId="0" fontId="14" fillId="10" borderId="8" applyAlignment="1">
      <alignment vertical="center"/>
    </xf>
    <xf numFmtId="44" fontId="0" fillId="0" borderId="0" applyAlignment="1">
      <alignment vertical="center"/>
    </xf>
    <xf numFmtId="41" fontId="0" fillId="0" borderId="0" applyAlignment="1">
      <alignment vertical="center"/>
    </xf>
    <xf numFmtId="0" fontId="13" fillId="11" borderId="0" applyAlignment="1">
      <alignment vertical="center"/>
    </xf>
    <xf numFmtId="0" fontId="15" fillId="12" borderId="0" applyAlignment="1">
      <alignment vertical="center"/>
    </xf>
    <xf numFmtId="43" fontId="0" fillId="0" borderId="0" applyAlignment="1">
      <alignment vertical="center"/>
    </xf>
    <xf numFmtId="0" fontId="16" fillId="13" borderId="0" applyAlignment="1">
      <alignment vertical="center"/>
    </xf>
    <xf numFmtId="0" fontId="17" fillId="0" borderId="0" applyAlignment="1">
      <alignment vertical="center"/>
    </xf>
    <xf numFmtId="9" fontId="0" fillId="0" borderId="0" applyAlignment="1">
      <alignment vertical="center"/>
    </xf>
    <xf numFmtId="0" fontId="7" fillId="0" borderId="0" applyAlignment="1">
      <alignment vertical="center"/>
    </xf>
    <xf numFmtId="0" fontId="0" fillId="14" borderId="9" applyAlignment="1">
      <alignment vertical="center"/>
    </xf>
    <xf numFmtId="0" fontId="16" fillId="15"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10" applyAlignment="1">
      <alignment vertical="center"/>
    </xf>
    <xf numFmtId="0" fontId="23" fillId="0" borderId="10" applyAlignment="1">
      <alignment vertical="center"/>
    </xf>
    <xf numFmtId="0" fontId="16" fillId="16" borderId="0" applyAlignment="1">
      <alignment vertical="center"/>
    </xf>
    <xf numFmtId="0" fontId="18" fillId="0" borderId="11" applyAlignment="1">
      <alignment vertical="center"/>
    </xf>
    <xf numFmtId="0" fontId="16" fillId="17" borderId="0" applyAlignment="1">
      <alignment vertical="center"/>
    </xf>
    <xf numFmtId="0" fontId="24" fillId="18" borderId="12" applyAlignment="1">
      <alignment vertical="center"/>
    </xf>
    <xf numFmtId="0" fontId="25" fillId="18" borderId="8" applyAlignment="1">
      <alignment vertical="center"/>
    </xf>
    <xf numFmtId="0" fontId="26" fillId="19" borderId="13" applyAlignment="1">
      <alignment vertical="center"/>
    </xf>
    <xf numFmtId="0" fontId="13" fillId="20" borderId="0" applyAlignment="1">
      <alignment vertical="center"/>
    </xf>
    <xf numFmtId="0" fontId="16" fillId="21" borderId="0" applyAlignment="1">
      <alignment vertical="center"/>
    </xf>
    <xf numFmtId="0" fontId="27" fillId="0" borderId="14" applyAlignment="1">
      <alignment vertical="center"/>
    </xf>
    <xf numFmtId="0" fontId="28" fillId="0" borderId="15" applyAlignment="1">
      <alignment vertical="center"/>
    </xf>
    <xf numFmtId="0" fontId="29" fillId="22" borderId="0" applyAlignment="1">
      <alignment vertical="center"/>
    </xf>
    <xf numFmtId="0" fontId="30" fillId="23" borderId="0" applyAlignment="1">
      <alignment vertical="center"/>
    </xf>
    <xf numFmtId="0" fontId="13" fillId="24" borderId="0" applyAlignment="1">
      <alignment vertical="center"/>
    </xf>
    <xf numFmtId="0" fontId="16" fillId="25" borderId="0" applyAlignment="1">
      <alignment vertical="center"/>
    </xf>
    <xf numFmtId="0" fontId="13" fillId="26" borderId="0" applyAlignment="1">
      <alignment vertical="center"/>
    </xf>
    <xf numFmtId="0" fontId="13" fillId="27" borderId="0" applyAlignment="1">
      <alignment vertical="center"/>
    </xf>
    <xf numFmtId="0" fontId="13" fillId="28" borderId="0" applyAlignment="1">
      <alignment vertical="center"/>
    </xf>
    <xf numFmtId="0" fontId="13" fillId="29" borderId="0" applyAlignment="1">
      <alignment vertical="center"/>
    </xf>
    <xf numFmtId="0" fontId="16" fillId="30" borderId="0" applyAlignment="1">
      <alignment vertical="center"/>
    </xf>
    <xf numFmtId="0" fontId="16" fillId="31" borderId="0" applyAlignment="1">
      <alignment vertical="center"/>
    </xf>
    <xf numFmtId="0" fontId="13" fillId="32" borderId="0" applyAlignment="1">
      <alignment vertical="center"/>
    </xf>
    <xf numFmtId="0" fontId="13" fillId="33" borderId="0" applyAlignment="1">
      <alignment vertical="center"/>
    </xf>
    <xf numFmtId="0" fontId="16" fillId="34" borderId="0" applyAlignment="1">
      <alignment vertical="center"/>
    </xf>
    <xf numFmtId="0" fontId="13" fillId="35" borderId="0" applyAlignment="1">
      <alignment vertical="center"/>
    </xf>
    <xf numFmtId="0" fontId="16" fillId="36" borderId="0" applyAlignment="1">
      <alignment vertical="center"/>
    </xf>
    <xf numFmtId="0" fontId="16" fillId="37" borderId="0" applyAlignment="1">
      <alignment vertical="center"/>
    </xf>
    <xf numFmtId="0" fontId="13" fillId="38" borderId="0" applyAlignment="1">
      <alignment vertical="center"/>
    </xf>
    <xf numFmtId="0" fontId="16" fillId="39" borderId="0" applyAlignment="1">
      <alignment vertical="center"/>
    </xf>
  </cellStyleXfs>
  <cellXfs count="145">
    <xf numFmtId="0" fontId="0" fillId="0" borderId="0" applyAlignment="1" pivotButton="0" quotePrefix="0" xfId="0">
      <alignment vertical="center"/>
    </xf>
    <xf numFmtId="16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0" fontId="2" fillId="2" borderId="0" applyAlignment="1" applyProtection="1" pivotButton="0" quotePrefix="0" xfId="0">
      <alignment horizontal="right" vertical="center" wrapText="1"/>
      <protection locked="1" hidden="1"/>
    </xf>
    <xf numFmtId="164" fontId="1" fillId="0" borderId="0" applyAlignment="1" applyProtection="1" pivotButton="0" quotePrefix="0" xfId="0">
      <alignment horizontal="right" vertical="center"/>
      <protection locked="1" hidden="1"/>
    </xf>
    <xf numFmtId="14"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right" vertical="center"/>
      <protection locked="1" hidden="1"/>
    </xf>
    <xf numFmtId="0" fontId="2" fillId="0" borderId="0" applyAlignment="1" applyProtection="1" pivotButton="0" quotePrefix="0" xfId="0">
      <alignment horizontal="center" vertical="center"/>
      <protection locked="1" hidden="1"/>
    </xf>
    <xf numFmtId="0" fontId="1"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1" hidden="1"/>
    </xf>
    <xf numFmtId="49"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165" fontId="1" fillId="0" borderId="0" applyAlignment="1" applyProtection="1" pivotButton="0" quotePrefix="0" xfId="0">
      <alignment horizontal="right" vertical="center"/>
      <protection locked="1" hidden="1"/>
    </xf>
    <xf numFmtId="166" fontId="1" fillId="0" borderId="0" applyAlignment="1" applyProtection="1" pivotButton="0" quotePrefix="0" xfId="0">
      <alignment horizontal="right" vertical="center"/>
      <protection locked="1" hidden="1"/>
    </xf>
    <xf numFmtId="0" fontId="1" fillId="0" borderId="0" applyAlignment="1" pivotButton="0" quotePrefix="0" xfId="0">
      <alignment horizontal="left" vertical="center"/>
    </xf>
    <xf numFmtId="0" fontId="1" fillId="0" borderId="0" applyAlignment="1" pivotButton="0" quotePrefix="0" xfId="0">
      <alignment horizontal="right" vertical="center"/>
    </xf>
    <xf numFmtId="0" fontId="2" fillId="2" borderId="1" applyAlignment="1" applyProtection="1" pivotButton="0" quotePrefix="0" xfId="0">
      <alignment horizontal="left" vertical="center" wrapText="1"/>
      <protection locked="1" hidden="1"/>
    </xf>
    <xf numFmtId="0" fontId="2" fillId="3" borderId="2" applyAlignment="1" applyProtection="1" pivotButton="0" quotePrefix="0" xfId="0">
      <alignment horizontal="center" vertical="center" wrapText="1"/>
      <protection locked="1" hidden="1"/>
    </xf>
    <xf numFmtId="0" fontId="2" fillId="3" borderId="1" applyAlignment="1" applyProtection="1" pivotButton="0" quotePrefix="0" xfId="0">
      <alignment horizontal="right" vertical="center"/>
      <protection locked="1" hidden="1"/>
    </xf>
    <xf numFmtId="49" fontId="2" fillId="3" borderId="1" applyAlignment="1" applyProtection="1" pivotButton="0" quotePrefix="0" xfId="0">
      <alignment horizontal="right" vertical="center"/>
      <protection locked="1" hidden="1"/>
    </xf>
    <xf numFmtId="0" fontId="2" fillId="3" borderId="1" applyAlignment="1" applyProtection="1" pivotButton="0" quotePrefix="0" xfId="0">
      <alignment horizontal="center" vertical="center"/>
      <protection locked="1" hidden="1"/>
    </xf>
    <xf numFmtId="0" fontId="2" fillId="2" borderId="0" applyAlignment="1" applyProtection="1" pivotButton="0" quotePrefix="0" xfId="0">
      <alignment horizontal="left" vertical="center" wrapText="1"/>
      <protection locked="1" hidden="1"/>
    </xf>
    <xf numFmtId="0" fontId="3" fillId="3" borderId="3" applyAlignment="1" applyProtection="1" pivotButton="0" quotePrefix="0" xfId="0">
      <alignment horizontal="left" vertical="center" wrapText="1"/>
      <protection locked="1" hidden="1"/>
    </xf>
    <xf numFmtId="0" fontId="3" fillId="3" borderId="0" applyAlignment="1" applyProtection="1" pivotButton="0" quotePrefix="0" xfId="0">
      <alignment horizontal="right" vertical="center" wrapText="1"/>
      <protection locked="1" hidden="1"/>
    </xf>
    <xf numFmtId="49" fontId="2" fillId="3" borderId="0" applyAlignment="1" applyProtection="1" pivotButton="0" quotePrefix="0" xfId="0">
      <alignment horizontal="right" vertical="center" wrapText="1"/>
      <protection locked="1" hidden="1"/>
    </xf>
    <xf numFmtId="0" fontId="2" fillId="3" borderId="0" applyAlignment="1" applyProtection="1" pivotButton="0" quotePrefix="0" xfId="0">
      <alignment horizontal="left" vertical="center" wrapText="1"/>
      <protection locked="1" hidden="1"/>
    </xf>
    <xf numFmtId="0" fontId="3" fillId="3" borderId="0" applyAlignment="1" applyProtection="1" pivotButton="0" quotePrefix="0" xfId="0">
      <alignment horizontal="left" vertical="center" wrapText="1"/>
      <protection locked="1" hidden="1"/>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center" vertical="center"/>
      <protection locked="1" hidden="1"/>
    </xf>
    <xf numFmtId="0" fontId="2" fillId="3" borderId="4" applyAlignment="1" applyProtection="1" pivotButton="0" quotePrefix="0" xfId="0">
      <alignment horizontal="center" vertical="center"/>
      <protection locked="1" hidden="1"/>
    </xf>
    <xf numFmtId="0" fontId="2" fillId="4" borderId="2" applyAlignment="1" applyProtection="1" pivotButton="0" quotePrefix="0" xfId="0">
      <alignment horizontal="center" vertical="center" wrapText="1"/>
      <protection locked="1" hidden="1"/>
    </xf>
    <xf numFmtId="0" fontId="2" fillId="4" borderId="1" applyAlignment="1" applyProtection="1" pivotButton="0" quotePrefix="0" xfId="0">
      <alignment horizontal="right" vertical="center"/>
      <protection locked="1" hidden="1"/>
    </xf>
    <xf numFmtId="49" fontId="2" fillId="4" borderId="1" applyAlignment="1" applyProtection="1" pivotButton="0" quotePrefix="0" xfId="0">
      <alignment horizontal="right" vertical="center"/>
      <protection locked="1" hidden="1"/>
    </xf>
    <xf numFmtId="0" fontId="2" fillId="4" borderId="1" applyAlignment="1" applyProtection="1" pivotButton="0" quotePrefix="0" xfId="0">
      <alignment horizontal="left" vertical="center"/>
      <protection locked="1" hidden="1"/>
    </xf>
    <xf numFmtId="0" fontId="2" fillId="4" borderId="1" applyAlignment="1" applyProtection="1" pivotButton="0" quotePrefix="0" xfId="0">
      <alignment horizontal="left" vertical="center"/>
      <protection locked="1" hidden="1"/>
    </xf>
    <xf numFmtId="0" fontId="3" fillId="3" borderId="5" applyAlignment="1" applyProtection="1" pivotButton="0" quotePrefix="0" xfId="0">
      <alignment horizontal="left" vertical="center" wrapText="1"/>
      <protection locked="1" hidden="1"/>
    </xf>
    <xf numFmtId="0" fontId="3" fillId="4" borderId="3" applyAlignment="1" applyProtection="1" pivotButton="0" quotePrefix="0" xfId="0">
      <alignment horizontal="left" vertical="center" wrapText="1"/>
      <protection locked="1" hidden="1"/>
    </xf>
    <xf numFmtId="0" fontId="3" fillId="4" borderId="0" applyAlignment="1" applyProtection="1" pivotButton="0" quotePrefix="0" xfId="0">
      <alignment horizontal="right" vertical="center" wrapText="1"/>
      <protection locked="1" hidden="1"/>
    </xf>
    <xf numFmtId="49" fontId="2" fillId="4" borderId="0" applyAlignment="1" applyProtection="1" pivotButton="0" quotePrefix="0" xfId="0">
      <alignment horizontal="right" vertical="center" wrapText="1"/>
      <protection locked="1" hidden="1"/>
    </xf>
    <xf numFmtId="0" fontId="2" fillId="4" borderId="0" applyAlignment="1" applyProtection="1" pivotButton="0" quotePrefix="0" xfId="0">
      <alignment horizontal="left" vertical="center" wrapText="1"/>
      <protection locked="1" hidden="1"/>
    </xf>
    <xf numFmtId="0" fontId="2" fillId="4" borderId="0" applyAlignment="1" applyProtection="1" pivotButton="0" quotePrefix="0" xfId="0">
      <alignment horizontal="left" vertical="center" wrapText="1"/>
      <protection locked="1" hidden="1"/>
    </xf>
    <xf numFmtId="167" fontId="1" fillId="0" borderId="0" applyAlignment="1" applyProtection="1" pivotButton="0" quotePrefix="0" xfId="0">
      <alignment horizontal="left" vertical="center"/>
      <protection locked="1" hidden="1"/>
    </xf>
    <xf numFmtId="0" fontId="2" fillId="4" borderId="1" applyAlignment="1" applyProtection="1" pivotButton="0" quotePrefix="0" xfId="0">
      <alignment horizontal="center" vertical="center"/>
      <protection locked="1" hidden="1"/>
    </xf>
    <xf numFmtId="0" fontId="2" fillId="4" borderId="4" applyAlignment="1" applyProtection="1" pivotButton="0" quotePrefix="0" xfId="0">
      <alignment horizontal="right" vertical="center"/>
      <protection locked="1" hidden="1"/>
    </xf>
    <xf numFmtId="0" fontId="2" fillId="5" borderId="2" applyAlignment="1" applyProtection="1" pivotButton="0" quotePrefix="0" xfId="0">
      <alignment horizontal="center" vertical="center" wrapText="1"/>
      <protection locked="1" hidden="1"/>
    </xf>
    <xf numFmtId="0" fontId="2" fillId="5" borderId="1" applyAlignment="1" applyProtection="1" pivotButton="0" quotePrefix="0" xfId="0">
      <alignment horizontal="right" vertical="center"/>
      <protection locked="1" hidden="1"/>
    </xf>
    <xf numFmtId="0" fontId="2" fillId="4" borderId="5" applyAlignment="1" applyProtection="1" pivotButton="0" quotePrefix="0" xfId="0">
      <alignment horizontal="right" vertical="center" wrapText="1"/>
      <protection locked="1" hidden="1"/>
    </xf>
    <xf numFmtId="0" fontId="3" fillId="5" borderId="3" applyAlignment="1" applyProtection="1" pivotButton="0" quotePrefix="0" xfId="0">
      <alignment horizontal="left" vertical="center" wrapText="1"/>
      <protection locked="1" hidden="1"/>
    </xf>
    <xf numFmtId="0" fontId="3" fillId="5" borderId="0" applyAlignment="1" applyProtection="1" pivotButton="0" quotePrefix="0" xfId="0">
      <alignment horizontal="right" vertical="center" wrapText="1"/>
      <protection locked="1" hidden="1"/>
    </xf>
    <xf numFmtId="0" fontId="1" fillId="0" borderId="0" applyAlignment="1" applyProtection="1" pivotButton="0" quotePrefix="0" xfId="0">
      <alignment vertical="center" wrapText="1"/>
      <protection locked="1" hidden="1"/>
    </xf>
    <xf numFmtId="0" fontId="0" fillId="0" borderId="0" applyAlignment="1" applyProtection="1" pivotButton="0" quotePrefix="0" xfId="0">
      <alignment vertical="center"/>
      <protection locked="1" hidden="1"/>
    </xf>
    <xf numFmtId="0" fontId="2" fillId="5" borderId="1" applyAlignment="1" applyProtection="1" pivotButton="0" quotePrefix="0" xfId="0">
      <alignment horizontal="center" vertical="center"/>
      <protection locked="1" hidden="1"/>
    </xf>
    <xf numFmtId="0" fontId="2" fillId="5" borderId="4" applyAlignment="1" applyProtection="1" pivotButton="0" quotePrefix="0" xfId="0">
      <alignment horizontal="center" vertical="center"/>
      <protection locked="1" hidden="1"/>
    </xf>
    <xf numFmtId="0" fontId="2" fillId="5" borderId="1" applyAlignment="1" applyProtection="1" pivotButton="0" quotePrefix="0" xfId="0">
      <alignment horizontal="center" vertical="center" wrapText="1"/>
      <protection locked="1" hidden="1"/>
    </xf>
    <xf numFmtId="0" fontId="2" fillId="5" borderId="1" applyAlignment="1" applyProtection="1" pivotButton="0" quotePrefix="0" xfId="0">
      <alignment horizontal="left" vertical="center" wrapText="1"/>
      <protection locked="1" hidden="1"/>
    </xf>
    <xf numFmtId="0" fontId="2" fillId="5" borderId="0" applyAlignment="1" applyProtection="1" pivotButton="0" quotePrefix="0" xfId="0">
      <alignment horizontal="right" vertical="center" wrapText="1"/>
      <protection locked="1" hidden="1"/>
    </xf>
    <xf numFmtId="0" fontId="2" fillId="5" borderId="0" applyAlignment="1" applyProtection="1" pivotButton="0" quotePrefix="0" xfId="0">
      <alignment horizontal="left" vertical="center" wrapText="1"/>
      <protection locked="1" hidden="1"/>
    </xf>
    <xf numFmtId="0" fontId="2" fillId="5" borderId="5" applyAlignment="1" applyProtection="1" pivotButton="0" quotePrefix="0" xfId="0">
      <alignment horizontal="left" vertical="center" wrapText="1"/>
      <protection locked="1" hidden="1"/>
    </xf>
    <xf numFmtId="0" fontId="3" fillId="5" borderId="3" applyAlignment="1" applyProtection="1" pivotButton="0" quotePrefix="0" xfId="0">
      <alignment horizontal="right" vertical="center" wrapText="1"/>
      <protection locked="1" hidden="1"/>
    </xf>
    <xf numFmtId="0" fontId="4" fillId="5" borderId="5" applyAlignment="1" applyProtection="1" pivotButton="0" quotePrefix="0" xfId="0">
      <alignment horizontal="left" vertical="center" wrapText="1"/>
      <protection locked="1" hidden="1"/>
    </xf>
    <xf numFmtId="0" fontId="2" fillId="6" borderId="6" applyAlignment="1" applyProtection="1" pivotButton="0" quotePrefix="0" xfId="0">
      <alignment horizontal="center" vertical="center" wrapText="1"/>
      <protection locked="1" hidden="1"/>
    </xf>
    <xf numFmtId="0" fontId="2" fillId="6" borderId="2" applyAlignment="1" applyProtection="1" pivotButton="0" quotePrefix="0" xfId="0">
      <alignment horizontal="center" vertical="center" wrapText="1"/>
      <protection locked="1" hidden="1"/>
    </xf>
    <xf numFmtId="0" fontId="2" fillId="6" borderId="1" applyAlignment="1" applyProtection="1" pivotButton="0" quotePrefix="0" xfId="0">
      <alignment horizontal="center" vertical="center"/>
      <protection locked="1" hidden="1"/>
    </xf>
    <xf numFmtId="0" fontId="2" fillId="6" borderId="4" applyAlignment="1" applyProtection="1" pivotButton="0" quotePrefix="0" xfId="0">
      <alignment horizontal="right" vertical="center"/>
      <protection locked="1" hidden="1"/>
    </xf>
    <xf numFmtId="165" fontId="2" fillId="7" borderId="2" applyAlignment="1" applyProtection="1" pivotButton="0" quotePrefix="0" xfId="0">
      <alignment horizontal="center" vertical="center" wrapText="1"/>
      <protection locked="1" hidden="1"/>
    </xf>
    <xf numFmtId="166" fontId="2" fillId="7" borderId="4" applyAlignment="1" applyProtection="1" pivotButton="0" quotePrefix="0" xfId="0">
      <alignment horizontal="right" vertical="center"/>
      <protection locked="1" hidden="1"/>
    </xf>
    <xf numFmtId="0" fontId="2" fillId="7" borderId="1" applyAlignment="1" applyProtection="1" pivotButton="0" quotePrefix="0" xfId="0">
      <alignment horizontal="center" vertical="center"/>
      <protection locked="1" hidden="1"/>
    </xf>
    <xf numFmtId="0" fontId="2" fillId="8" borderId="2" applyAlignment="1" applyProtection="1" pivotButton="0" quotePrefix="0" xfId="0">
      <alignment horizontal="center" vertical="center" wrapText="1"/>
      <protection locked="1" hidden="1"/>
    </xf>
    <xf numFmtId="0" fontId="3" fillId="6" borderId="7" applyAlignment="1" applyProtection="1" pivotButton="0" quotePrefix="0" xfId="0">
      <alignment horizontal="left" vertical="center" wrapText="1"/>
      <protection locked="1" hidden="1"/>
    </xf>
    <xf numFmtId="0" fontId="3" fillId="6" borderId="3" applyAlignment="1" applyProtection="1" pivotButton="0" quotePrefix="0" xfId="0">
      <alignment horizontal="left" vertical="center" wrapText="1"/>
      <protection locked="1" hidden="1"/>
    </xf>
    <xf numFmtId="0" fontId="4" fillId="6" borderId="0" applyAlignment="1" applyProtection="1" pivotButton="0" quotePrefix="0" xfId="0">
      <alignment horizontal="left" vertical="center" wrapText="1"/>
      <protection locked="1" hidden="1"/>
    </xf>
    <xf numFmtId="0" fontId="4" fillId="6" borderId="5" applyAlignment="1" applyProtection="1" pivotButton="0" quotePrefix="0" xfId="0">
      <alignment horizontal="right"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0" fontId="2" fillId="7" borderId="7" applyAlignment="1" applyProtection="1" pivotButton="0" quotePrefix="0" xfId="0">
      <alignment vertical="center" wrapText="1"/>
      <protection locked="1" hidden="1"/>
    </xf>
    <xf numFmtId="0" fontId="2" fillId="8" borderId="3" applyAlignment="1" applyProtection="1" pivotButton="0" quotePrefix="0" xfId="0">
      <alignment horizontal="right" vertical="center" wrapText="1"/>
      <protection locked="1" hidden="1"/>
    </xf>
    <xf numFmtId="0" fontId="2" fillId="8" borderId="1" applyAlignment="1" applyProtection="1" pivotButton="0" quotePrefix="0" xfId="0">
      <alignment horizontal="center" vertical="center" wrapText="1"/>
      <protection locked="1" hidden="1"/>
    </xf>
    <xf numFmtId="0" fontId="2" fillId="8" borderId="0" applyAlignment="1" applyProtection="1" pivotButton="0" quotePrefix="0" xfId="0">
      <alignment vertical="center" wrapText="1"/>
      <protection locked="1" hidden="1"/>
    </xf>
    <xf numFmtId="0" fontId="2" fillId="8" borderId="0" applyAlignment="1" applyProtection="1" pivotButton="0" quotePrefix="0" xfId="0">
      <alignment horizontal="right" vertical="center" wrapText="1"/>
      <protection locked="1" hidden="1"/>
    </xf>
    <xf numFmtId="0" fontId="2" fillId="8" borderId="0" applyAlignment="1" applyProtection="1" pivotButton="0" quotePrefix="0" xfId="0">
      <alignment horizontal="left" vertical="center" wrapText="1"/>
      <protection locked="1" hidden="1"/>
    </xf>
    <xf numFmtId="0" fontId="2" fillId="8" borderId="4" applyAlignment="1" applyProtection="1" pivotButton="0" quotePrefix="0" xfId="0">
      <alignment horizontal="center" vertical="center" wrapText="1"/>
      <protection locked="1" hidden="1"/>
    </xf>
    <xf numFmtId="0" fontId="2" fillId="7" borderId="4" applyAlignment="1" applyProtection="1" pivotButton="0" quotePrefix="0" xfId="0">
      <alignment horizontal="left" vertical="center"/>
      <protection locked="1" hidden="1"/>
    </xf>
    <xf numFmtId="0" fontId="2" fillId="8" borderId="5" applyAlignment="1" applyProtection="1" pivotButton="0" quotePrefix="0" xfId="0">
      <alignment horizontal="right" vertical="center" wrapText="1"/>
      <protection locked="1" hidden="1"/>
    </xf>
    <xf numFmtId="0" fontId="2" fillId="7" borderId="7" applyAlignment="1" applyProtection="1" pivotButton="0" quotePrefix="0" xfId="0">
      <alignment horizontal="left" vertical="center" wrapText="1"/>
      <protection locked="1" hidden="1"/>
    </xf>
    <xf numFmtId="165" fontId="1" fillId="0" borderId="0" applyAlignment="1" pivotButton="0" quotePrefix="0" xfId="0">
      <alignment horizontal="right" vertical="center"/>
    </xf>
    <xf numFmtId="20" fontId="1" fillId="0" borderId="0" applyAlignment="1" pivotButton="0" quotePrefix="0" xfId="0">
      <alignment horizontal="right" vertical="center"/>
    </xf>
    <xf numFmtId="14" fontId="1" fillId="0" borderId="0" applyAlignment="1" pivotButton="0" quotePrefix="0" xfId="0">
      <alignment horizontal="right" vertical="center"/>
    </xf>
    <xf numFmtId="0" fontId="1" fillId="0" borderId="0" applyAlignment="1" applyProtection="1" pivotButton="0" quotePrefix="0" xfId="0">
      <alignment horizontal="right" vertical="center"/>
      <protection locked="1" hidden="1"/>
    </xf>
    <xf numFmtId="0" fontId="1" fillId="0" borderId="0" applyAlignment="1" applyProtection="1" pivotButton="0" quotePrefix="0" xfId="0">
      <alignment vertical="center"/>
      <protection locked="1" hidden="1"/>
    </xf>
    <xf numFmtId="165" fontId="1" fillId="0" borderId="0" applyAlignment="1" applyProtection="1" pivotButton="0" quotePrefix="0" xfId="0">
      <alignment horizontal="right" vertical="center"/>
      <protection locked="1" hidden="1"/>
    </xf>
    <xf numFmtId="0" fontId="1" fillId="0" borderId="0" applyAlignment="1" applyProtection="1" pivotButton="0" quotePrefix="0" xfId="0">
      <alignment horizontal="left" vertical="center"/>
      <protection locked="1" hidden="1"/>
    </xf>
    <xf numFmtId="0" fontId="2" fillId="2" borderId="0" applyAlignment="1" applyProtection="1" pivotButton="0" quotePrefix="0" xfId="0">
      <alignment vertical="center" wrapText="1"/>
      <protection locked="1" hidden="1"/>
    </xf>
    <xf numFmtId="0" fontId="1" fillId="0" borderId="0" applyAlignment="1" applyProtection="1" pivotButton="0" quotePrefix="0" xfId="0">
      <alignment horizontal="right" vertical="center"/>
      <protection locked="1" hidden="1"/>
    </xf>
    <xf numFmtId="0" fontId="5"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0" fontId="7" fillId="0" borderId="0" applyAlignment="1" applyProtection="1" pivotButton="0" quotePrefix="0" xfId="10">
      <alignment horizontal="left" vertical="center"/>
      <protection locked="1" hidden="1"/>
    </xf>
    <xf numFmtId="0" fontId="8" fillId="0" borderId="0" applyAlignment="1" pivotButton="0" quotePrefix="0" xfId="10">
      <alignment vertical="center"/>
    </xf>
    <xf numFmtId="0" fontId="7" fillId="0" borderId="0" applyAlignment="1" pivotButton="0" quotePrefix="0" xfId="10">
      <alignment vertical="center"/>
    </xf>
    <xf numFmtId="0" fontId="9" fillId="0" borderId="0" applyAlignment="1" pivotButton="0" quotePrefix="0" xfId="10">
      <alignment vertical="center"/>
    </xf>
    <xf numFmtId="0" fontId="10" fillId="0" borderId="0" applyAlignment="1" applyProtection="1" pivotButton="0" quotePrefix="0" xfId="0">
      <alignment vertical="center"/>
      <protection locked="1" hidden="1"/>
    </xf>
    <xf numFmtId="0" fontId="11" fillId="0" borderId="0" applyAlignment="1" applyProtection="1" pivotButton="0" quotePrefix="0" xfId="0">
      <alignment vertical="center"/>
      <protection locked="1" hidden="1"/>
    </xf>
    <xf numFmtId="0" fontId="12" fillId="0" borderId="0" applyAlignment="1" applyProtection="1" pivotButton="0" quotePrefix="0" xfId="0">
      <alignment vertical="center"/>
      <protection locked="1" hidden="1"/>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horizontal="right" vertical="center"/>
      <protection locked="0" hidden="0"/>
    </xf>
    <xf numFmtId="49"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protection locked="0" hidden="0"/>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1" fillId="0" borderId="0" applyAlignment="1" applyProtection="1" pivotButton="0" quotePrefix="0" xfId="0">
      <alignment horizontal="center" vertical="center"/>
      <protection locked="0" hidden="0"/>
    </xf>
    <xf numFmtId="167" fontId="1" fillId="0" borderId="0" applyAlignment="1" applyProtection="1" pivotButton="0" quotePrefix="0" xfId="0">
      <alignment horizontal="left" vertical="center"/>
      <protection locked="0" hidden="0"/>
    </xf>
    <xf numFmtId="0" fontId="1" fillId="0" borderId="0" applyAlignment="1" applyProtection="1" pivotButton="0" quotePrefix="0" xfId="0">
      <alignment vertical="center" wrapText="1"/>
      <protection locked="0" hidden="0"/>
    </xf>
    <xf numFmtId="0" fontId="1" fillId="0" borderId="0" applyAlignment="1" applyProtection="1" pivotButton="0" quotePrefix="0" xfId="0">
      <alignment vertical="center"/>
      <protection locked="0" hidden="0"/>
    </xf>
    <xf numFmtId="0" fontId="2" fillId="7" borderId="4" applyAlignment="1" applyProtection="1" pivotButton="0" quotePrefix="0" xfId="0">
      <alignment horizontal="center" vertical="center"/>
      <protection locked="1" hidden="1"/>
    </xf>
    <xf numFmtId="0" fontId="2" fillId="8" borderId="1" applyAlignment="1" applyProtection="1" pivotButton="0" quotePrefix="0" xfId="0">
      <alignment horizontal="left" vertical="center" wrapText="1"/>
      <protection locked="1" hidden="1"/>
    </xf>
    <xf numFmtId="0" fontId="2" fillId="8" borderId="1" applyAlignment="1" applyProtection="1" pivotButton="0" quotePrefix="0" xfId="0">
      <alignment horizontal="right" vertical="center" wrapText="1"/>
      <protection locked="1" hidden="1"/>
    </xf>
    <xf numFmtId="0" fontId="2" fillId="8" borderId="4" applyAlignment="1" applyProtection="1" pivotButton="0" quotePrefix="0" xfId="0">
      <alignment horizontal="right" vertical="center" wrapText="1"/>
      <protection locked="1" hidden="1"/>
    </xf>
    <xf numFmtId="20" fontId="1" fillId="0" borderId="0" applyAlignment="1" applyProtection="1" pivotButton="0" quotePrefix="0" xfId="0">
      <alignment horizontal="right" vertical="center"/>
      <protection locked="0" hidden="0"/>
    </xf>
    <xf numFmtId="14" fontId="1" fillId="0" borderId="0" applyAlignment="1" applyProtection="1" pivotButton="0" quotePrefix="0" xfId="0">
      <alignment horizontal="right" vertical="center"/>
      <protection locked="0" hidden="0"/>
    </xf>
    <xf numFmtId="49" fontId="1" fillId="0" borderId="0" applyAlignment="1" applyProtection="1" pivotButton="0" quotePrefix="1" xfId="0">
      <alignment horizontal="right" vertical="center"/>
      <protection locked="1" hidden="1"/>
    </xf>
    <xf numFmtId="164" fontId="1" fillId="0" borderId="0" applyAlignment="1" applyProtection="1" pivotButton="0" quotePrefix="1" xfId="0">
      <alignment horizontal="right" vertical="center"/>
      <protection locked="1" hidden="1"/>
    </xf>
    <xf numFmtId="165" fontId="1" fillId="0" borderId="0" applyAlignment="1" applyProtection="1" pivotButton="0" quotePrefix="0" xfId="0">
      <alignment horizontal="right" vertical="center"/>
      <protection locked="0" hidden="0"/>
    </xf>
    <xf numFmtId="166" fontId="1" fillId="0" borderId="0" applyAlignment="1" applyProtection="1" pivotButton="0" quotePrefix="0" xfId="0">
      <alignment horizontal="right" vertical="center"/>
      <protection locked="0" hidden="0"/>
    </xf>
    <xf numFmtId="0" fontId="2" fillId="3" borderId="6" applyAlignment="1" applyProtection="1" pivotButton="0" quotePrefix="0" xfId="0">
      <alignment horizontal="center" vertical="center" wrapText="1"/>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2" fillId="4" borderId="6" applyAlignment="1" applyProtection="1" pivotButton="0" quotePrefix="0" xfId="0">
      <alignment horizontal="center" vertical="center" wrapText="1"/>
      <protection locked="1" hidden="1"/>
    </xf>
    <xf numFmtId="0" fontId="2" fillId="5" borderId="6" applyAlignment="1" applyProtection="1" pivotButton="0" quotePrefix="0" xfId="0">
      <alignment horizontal="center" vertical="center" wrapText="1"/>
      <protection locked="1" hidden="1"/>
    </xf>
    <xf numFmtId="165" fontId="2" fillId="7" borderId="6" applyAlignment="1" applyProtection="1" pivotButton="0" quotePrefix="0" xfId="0">
      <alignment horizontal="center" vertical="center" wrapText="1"/>
      <protection locked="1" hidden="1"/>
    </xf>
    <xf numFmtId="0" fontId="2" fillId="8" borderId="6" applyAlignment="1" applyProtection="1" pivotButton="0" quotePrefix="0" xfId="0">
      <alignment horizontal="center" vertical="center" wrapText="1"/>
      <protection locked="1" hidden="1"/>
    </xf>
    <xf numFmtId="165" fontId="4" fillId="7" borderId="3" applyAlignment="1" applyProtection="1" pivotButton="0" quotePrefix="0" xfId="0">
      <alignment horizontal="right" vertical="center" wrapText="1"/>
      <protection locked="1" hidden="1"/>
    </xf>
    <xf numFmtId="166" fontId="4" fillId="7" borderId="5" applyAlignment="1" applyProtection="1" pivotButton="0" quotePrefix="0" xfId="0">
      <alignment horizontal="right" vertical="center" wrapText="1"/>
      <protection locked="1" hidden="1"/>
    </xf>
    <xf numFmtId="167" fontId="1" fillId="0" borderId="0" applyAlignment="1" applyProtection="1" pivotButton="0" quotePrefix="0" xfId="0">
      <alignment horizontal="left" vertical="center"/>
      <protection locked="0" hidden="0"/>
    </xf>
    <xf numFmtId="165" fontId="1" fillId="0" borderId="0" applyAlignment="1" applyProtection="1" pivotButton="0" quotePrefix="0" xfId="0">
      <alignment horizontal="right" vertical="center"/>
      <protection locked="1" hidden="1"/>
    </xf>
    <xf numFmtId="165" fontId="2" fillId="2" borderId="0" applyAlignment="1" applyProtection="1" pivotButton="0" quotePrefix="0" xfId="0">
      <alignment horizontal="right" vertical="center" wrapText="1"/>
      <protection locked="1" hidden="1"/>
    </xf>
    <xf numFmtId="165" fontId="2" fillId="2" borderId="0" applyAlignment="1" applyProtection="1" pivotButton="0" quotePrefix="0" xfId="0">
      <alignment horizontal="left" vertical="center" wrapText="1"/>
      <protection locked="1" hidden="1"/>
    </xf>
    <xf numFmtId="166" fontId="1" fillId="0" borderId="0" applyAlignment="1" applyProtection="1" pivotButton="0" quotePrefix="0" xfId="0">
      <alignment horizontal="right" vertical="center"/>
      <protection locked="1" hidden="1"/>
    </xf>
    <xf numFmtId="167" fontId="1" fillId="0" borderId="0" applyAlignment="1" applyProtection="1" pivotButton="0" quotePrefix="0" xfId="0">
      <alignment horizontal="left" vertical="center"/>
      <protection locked="1" hidden="1"/>
    </xf>
    <xf numFmtId="165" fontId="1" fillId="0" borderId="0" applyAlignment="1" pivotButton="0" quotePrefix="0" xfId="0">
      <alignment horizontal="right" vertical="center"/>
    </xf>
    <xf numFmtId="164" fontId="1" fillId="0" borderId="0" applyAlignment="1" applyProtection="1" pivotButton="0" quotePrefix="0" xfId="0">
      <alignment horizontal="right" vertical="center"/>
      <protection locked="1" hidden="1"/>
    </xf>
    <xf numFmtId="0" fontId="0" fillId="0" borderId="0" pivotButton="0" quotePrefix="0" xfId="0"/>
    <xf numFmtId="164" fontId="1" fillId="0" borderId="0" applyAlignment="1" applyProtection="1" pivotButton="0" quotePrefix="1" xfId="0">
      <alignment horizontal="right" vertical="center"/>
      <protection locked="1" hidden="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ont>
        <color rgb="FFC00000"/>
      </font>
      <numFmt numFmtId="180" formatCode="@&quot; (只需填寫托寄物訊息)&quot;"/>
      <fill>
        <patternFill patternType="solid">
          <bgColor rgb="FFFFFFFF"/>
        </patternFill>
      </fill>
    </dxf>
    <dxf>
      <fill>
        <patternFill patternType="solid">
          <bgColor theme="0" tint="-0.15"/>
        </patternFill>
      </fill>
    </dxf>
    <dxf>
      <font>
        <b val="1"/>
        <color rgb="FFFF0000"/>
      </font>
      <fill>
        <patternFill patternType="solid">
          <bgColor rgb="FFFFCCCC"/>
        </patternFill>
      </fill>
    </dxf>
    <dxf>
      <numFmt numFmtId="0" formatCode="General"/>
      <fill>
        <patternFill patternType="solid">
          <bgColor theme="0" tint="-0.15"/>
        </patternFill>
      </fill>
    </dxf>
    <dxf>
      <font>
        <b val="1"/>
        <color rgb="FFFF0000"/>
      </font>
      <numFmt numFmtId="177" formatCode="yyyy\-mm\-dd"/>
      <fill>
        <patternFill patternType="solid">
          <bgColor rgb="FFFFCC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comments/comment2.xml><?xml version="1.0" encoding="utf-8"?>
<comments xmlns="http://schemas.openxmlformats.org/spreadsheetml/2006/main">
  <authors>
    <author>Administrator</author>
  </authors>
  <commentList>
    <comment ref="W1" authorId="0" shapeId="0">
      <text>
        <t>如同一訂單有多於一個托寄物，需另開一行並輸入相同的客戶訂單編號，然後補充托寄物訊息，其他訊息不用填寫。
If there are more than one consignments in a single order, user needs to start a new row with same customer order number, then supplement the consignment information only.</t>
      </text>
    </comment>
    <comment ref="A2" authorId="0" shapeId="0">
      <text>
        <t>1. 非必填，max=30
2. 請勿填寫此前已填寫過的客戶訂單編號。
1. Optional, max=30
2. Please do not fill in an Customer Order I.D. that has already been used before.</t>
      </text>
    </comment>
    <comment ref="B2" authorId="0" shapeId="0">
      <text>
        <t>必填，max=30
Required, max=30</t>
      </text>
    </comment>
    <comment ref="D2" authorId="0" shapeId="0">
      <text>
        <t>手機號碼和固網電話必須填寫一個。
Must fill in either a mobile number or a fixed number.</t>
      </text>
    </comment>
    <comment ref="E2" authorId="0" shapeId="0">
      <text>
        <t>手機號碼和固網電話必須填寫一個。
 Must fill in either a mobile number or a fixed number.</t>
      </text>
    </comment>
    <comment ref="F2" authorId="0" shapeId="0">
      <text>
        <t>非必填，max=100
Optional, max=100</t>
      </text>
    </comment>
    <comment ref="J2" authorId="0" shapeId="0">
      <text>
        <t>必填，max=150
Required, max=150</t>
      </text>
    </comment>
    <comment ref="K2" authorId="0" shapeId="0">
      <text>
        <t>必填，max=30
Required, max=30</t>
      </text>
    </comment>
    <comment ref="M2" authorId="0" shapeId="0">
      <text>
        <t>手機號碼和固網電話必須填寫一個。
Must fill in either a mobile number or a fixed number.</t>
      </text>
    </comment>
    <comment ref="N2" authorId="0" shapeId="0">
      <text>
        <t>手機號碼和固網電話必須填寫一個。
Must fill in either a mobile number or a fixed number.</t>
      </text>
    </comment>
    <comment ref="O2" authorId="0" shapeId="0">
      <text>
        <t>非必填，max=100
Optional, max=100</t>
      </text>
    </comment>
    <comment ref="P2" authorId="0" shapeId="0">
      <text>
        <t>1. 自取點編號和具體地址必須填寫一個。
2. 如果郵寄到自取點，可以直接填寫自取點編號（一定要準確），而不用填寫收件方的具體地址。
1. Must fill in either a self Pick-up point or a detail address.
2. If parcel is sent to the SF Network Point, you can directly fill in the point code (must be accurate) instead of filling in the specific address.</t>
      </text>
    </comment>
    <comment ref="Q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R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S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t>
      </text>
    </comment>
    <comment ref="T2" authorId="0" shapeId="0">
      <text>
        <t>1. 自取點編號和具體地址必須填寫一個。
2. 如果是直轄市地址，則省市兩欄中直接輸入對應直轄市名稱即可，例如：省-北京、市-北京、區-朝陽區。
3. 如果是香港和台灣地址，則省一欄寫香港或者台灣，市一欄寫行政區，區一欄寫行政區下一級地址，例如：省-香港、市-屯門、區-藍地。
4. 如果是澳門地址，則省市兩欄中分別輸入澳門和澳門的區級地址，區一欄中為空即可，例如：省-澳門、市-澳門半島、區-不填寫。
5. max=150
1. Must fill in either a self Pick-up point or a detail address.
2. If it is the address of the municipality directly under the central government, you can directly enter the name of the corresponding municipality directly in the two columns of province and city, for example: Province Beijing, City Beijing, District Chaoyang District.
3. If it is the address of Hong Kong and Taiwan regions, the province column should indicate Hong Kong or Taiwan, the city column should indicate the administrative region, and the district column should indicate the lower level address of the administrative region, for example: Province Hong Kong, City Tuen Mun, district Lam Tei.
4. If it is a Macau address, enter the district address of Macau and Macau respectively in the city and province columns. For example: Province Macao, City Macao Peninsula, No need to fill in District.
5. max=150</t>
      </text>
    </comment>
    <comment ref="U2" authorId="0" shapeId="0">
      <text>
        <t>建議填寫「證件類型」以保障快件時效。
Suggest filling in the I.D. Type to secure the transit time.</t>
      </text>
    </comment>
    <comment ref="V2" authorId="0" shapeId="0">
      <text>
        <t>1. 建議填寫「證件編號」以保障快件時效。
2. max=30
1. Suggest filling in the I.D. No. to secure the transit time.
2. max=30</t>
      </text>
    </comment>
    <comment ref="W2" authorId="0" shapeId="0">
      <text>
        <t>1. 必填，max=30
2. 分為檔案和物品，如果您郵寄的是物品，需要填寫具體的物品名稱，例如衣服，食物等。
1. Required, max=30
2. Consignment：Either documents or items. If you are sending items, specific item names must be filled in, such as clothes, food, etc.</t>
      </text>
    </comment>
    <comment ref="X2" authorId="0" shapeId="0">
      <text>
        <t>必填，數值範圍：0.01 - 9999.99
Required, value range: 0.01 - 9999.99</t>
      </text>
    </comment>
    <comment ref="Y2" authorId="0" shapeId="0">
      <text>
        <t>1. 非香港本地收件必須。
2. 數值範圍：0.01 - 99999.99
1. Must fill in for non-domestic shipments.
2. Value range: 0.01 - 99999.99</t>
      </text>
    </comment>
    <comment ref="Z2" authorId="0" shapeId="0">
      <text>
        <t>非香港本地收件必須。
Must fill in for non-domestic shipments.</t>
      </text>
    </comment>
    <comment ref="AA2" authorId="0" shapeId="0">
      <text>
        <t>1. 非香港本地收件必須。
2. 數值範圍：0 - 1000000
1. Must fill in for non-domestic shipments.
2. Value range: 0 - 1000000</t>
      </text>
    </comment>
    <comment ref="AB2" authorId="0" shapeId="0">
      <text>
        <t>非香港本地收件必須。
Must fill in for non-domestic shipments.</t>
      </text>
    </comment>
    <comment ref="AC2" authorId="0" shapeId="0">
      <text>
        <t>非香港本地收件必須。
Must fill in for non-domestic shipments.</t>
      </text>
    </comment>
    <comment ref="AD2" authorId="0" shapeId="0">
      <text>
        <t>必填，數值範圍：0.01 -  9999.99
Required, value range: 0.01 -  9999.99</t>
      </text>
    </comment>
    <comment ref="AE2" authorId="0" shapeId="0">
      <text>
        <t>1. 必填，數值範圍：1 - 50
2. 如果一張訂單只包含一個包裹，於「包裹數量（子母件數量）」填“1”。若包裹數量超過1件，即寄遞子母件。例如，同一張訂單包含三個包裹，於「包裹數量（子母件數量）」填“3”，其後會打印出三張運單，讓您的三個包裹都可以分別貼上一張運單。
1. Required, value range: 1 - 50
2. If a shipment only contains one piece of parcel, fill in "1" in "Parcel Quantity (num. of multi-piece shipments)". If a shipment consists of more than one piece of parcel, it will be sent as a multi-piece shipments. For example, fill in "3" in the " Parcel Quantity (num. of multi-piece shipments)" when three parcels are required to be sent. Three waybills will be printed so that each of your three packages can be affixed with one waybill.</t>
      </text>
    </comment>
    <comment ref="AF2" authorId="0" shapeId="0">
      <text>
        <t>1. 如果一張訂單有多個子母件，而每個子母件都需要單獨的包裹備註，請於此欄目填寫每個子母件的包裹備註。
2. 非必填，每個包裹備註 max=50
* 舉例：訂單的「包裹數量（子母件數量）」為 「4」
「包裹備註」正確填寫應為 「主單備註：xxxxxxxx+次單1備註：xxxxxxxx+次單2備註：xxxxxxxx+次單3備註：xxxxxxxx」
1. If an order has multi-piece shipments and each requires separate parcel notes, please fill in the parcel notes for each multi-piece shipment in this field.
2. Optional,max=50 perparcel note.
* Example: If the order's “Parcel Quantity (num. of multi-piece shipments)" is "4", the correct way to fill in "Parcel Notes" would be:
"Main Parcel Note: xxxxxxxx + Sub-Parcel 1 Note: xxxxxxxx + Sub-Parcel 2 Note: xxxxxxxx + Sub-Parcel 3 Note: xxxxxxxx"</t>
      </text>
    </comment>
    <comment ref="AI2" authorId="0" shapeId="0">
      <text>
        <t xml:space="preserve">如果是非香港或澳門本地件，需選擇稅金付款方式。寄付月結只適用於已開通進口稅金費用代墊服務的客戶，並需於「稅金付款帳號」填寫已開題此服務的月結號；如未開題此服務請選擇到付。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J2" authorId="0" shapeId="0">
      <text>
        <t xml:space="preserve">如果是非香港或澳門本地件，需選擇稅金付款方式。寄付月結只適用於已開通進口稅金費用代墊服務的客戶，並需於「稅金付款帳號」填寫已開通此服務的月結號；如未開通此服務請選擇到付。
For non-domestic shipments of Hong Kong and Macao, you can choose the applicable tax payment method. “Credit Account” is only available for accounts with the Advanced Payment Service regarding Import Duty. Please make sure the correct credit account number is being filled. </t>
      </text>
    </comment>
    <comment ref="AK2" authorId="0" shapeId="0">
      <text>
        <t>填寫當前至未來3日內的日期。
Fill in the dates from the current day to within the next three days.</t>
      </text>
    </comment>
    <comment ref="AM2" authorId="0" shapeId="0">
      <text>
        <t>非必填，max=50
Optional, max=50</t>
      </text>
    </comment>
    <comment ref="AO2" authorId="0" shapeId="0">
      <text>
        <t xml:space="preserve">如果使用增值服務 - PoD 簽單返還，請於此欄目填寫所需的簽單返還派件證明類型，可同時填寫多個類型。
簽單返還類型：
1.簽名
2.蓋章
3.收取派件存根
4.其他文件
* 如果客戶需要選擇多於一個類型，請以半形逗號分隔
例：如選擇“簽名 + 蓋章”，請輸入“1,2”
* 另外，如果選擇「其他文件」，則必須填寫「PoD 備註」
When the PoD service is selected, user must fill-in the target PoD type, which support more than 1 type
PoD Type:
1. Sign
2. Stamp
3. Collect delivery stubs
4. Other documents
* If there are more than one type, please use comma as the delimiter
e.g. "Sign" + "Stamp", please insert "1,2"
* Moreover, if "Other documents" is selected, user must fill-in "PoD - Remark"
</t>
      </text>
    </comment>
    <comment ref="AP2" authorId="0" shapeId="0">
      <text>
        <t xml:space="preserve">1. 如果簽單返還類型選擇「其他文件」，則必須填寫「PoD 備註」
2. max=20 
1.  If "Other documents" is selected for the target PoD type, user must fill-in "PoD - Remark".
2. max=20 </t>
      </text>
    </comment>
    <comment ref="AQ2" authorId="0" shapeId="0">
      <text>
        <t xml:space="preserve">如果使用增值服務 - 密碼認證，請確保已填上收件人手機號碼，以接收6位數字密碼。此服務的取件方式，只適用於上門派送或順豐營業點、順豐站自取；不適用於順豐自助櫃、合作點自取。
If V.A.S – Secret Key Authentication is required, please make sure the mobile phone number of recipient has been properly filled in order to receive the 6-digit password. This service is only available for To-door delivery, Self-pick up at SF Business Station and SF Store. </t>
      </text>
    </comment>
    <comment ref="AR2" authorId="0" shapeId="0">
      <text>
        <t>1. 如果使用增值服務 - CoD 代收貨款，請填寫需要為您代收的金額。
2. 數值範圍：0.1 - 1000000
1. When the V.A.S - Cash on Delivery is selected, user shall fill in the cash amount targeted to collect.
2.Value range: 0.1 - 1000000</t>
      </text>
    </comment>
    <comment ref="AS2" authorId="0" shapeId="0">
      <text>
        <t>如果使用增值服務 - CoD 代收貨款，請填寫已開通此服務的月結號。
When the V.A.S - Cash on Delivery is selected, user shall fill in the correct credit account number.</t>
      </text>
    </comment>
    <comment ref="AT2" authorId="0" shapeId="0">
      <text>
        <t>註：收件方地區為香港/澳門，托寄物達到或超過20KG，請選擇送貨方式。如客戶選擇自取或送貨上樓（無需行樓梯）而上門派送時需行樓梯，派送時到方需支付附加費。
Note: When the recipient area is Hong Kong or Macau, for items weighing 20KG or more, please select a delivery method.  If the customer chooses Self-pickup/Ground floor pickup or Upstairs Delivery (no climb stairs required) but stairs are required during the delivery, a value added service must be paid upon delivery.</t>
      </text>
    </comment>
    <comment ref="AU2" authorId="0" shapeId="0">
      <text>
        <t>如果使用增值服務 - 送貨上樓（需行樓梯），請填寫行樓梯層數。
When the V.A.S - Upstairs Delivery (climb stairs required) is selected, user shall fill in the floor level.</t>
      </text>
    </comment>
    <comment ref="AV2" authorId="0" shapeId="0">
      <text>
        <t xml:space="preserve">如果使用增值服務 - 心意送，請於此欄目填寫所需要的賀卡，一張訂單只能填寫一款賀卡。
* 如果使用增值服務 - 心意送，且需要賀卡，請輸入賀卡ID
例：如賀卡ID為“HK001”，請輸入“HK001”。
* 如果使用增值服務 - 心意送，但不需要賀卡，請輸入“不選擇”。
* 查看賀卡ID請前往「元素 sheet - N列」
* 另外，如果需要賀卡，則必須填寫「心意送 - 賀卡祝福語」和「心意送 - 賀卡署名」。
When the Surprise Delivery service is selected, user must fill-in the greeting e-cards name. Only one e-card name can be filled per order.
* If user use the Surprise Delivery service and need a greeting e-card,  please insert the ‌greeting e-card id‌.
e.g.  If the greeting e-card id‌ is "HK001", please insert "HK001".
* If user use the Surprise Delivery service but do not need a greeting e-card,  please insert "No card".
* Navigate to the 'Info' sheet and locate Column N to find the greeting e-card id‌.
* Moreover, if user need a greeting e-card, user must fill-in "Surprise Delivery - Greeting message" and "Surprise Delivery - Signature". </t>
      </text>
    </comment>
    <comment ref="AW2" authorId="0" shapeId="0">
      <text>
        <t>如果需要賀卡，則必須填寫「心意送 - 賀卡祝福語」。
賀卡祝福語類型：
1. 默認祝福語
2. 自定義祝福語
* 如果使用默認祝福語，請輸入”1_月結平台提供的默認祝福語”
例：如默認祝福語為“希望你喜歡這份禮物！”，請輸入“1_希望你喜歡這份禮物！”。
* 如果使用自定義祝福語，請輸入”2_自定義祝福語”
例：如輸入“2_親愛的，恭喜你今年發大財啊，發財記得請食飯”。
* 查看默認祝福語請前往「元素 sheet - N列」
* 自定義祝福語 max=60
If user need a greeting e-card, user must fill-in "Surprise Delivery - Greeting message".
Greeting Message Type:
1. Recommend Greetings
2. Customized Greetings
* If user use the Recommend Greeting message,  please insert "1_ Recommend Greeting Provided by the C.A.M.P.".
e.g.  If the recommend greeting is "I hope you like this gift！", please insert "1_I hope you like this gift！".
* If user use the Customized Greeting message, please insert "2_ Customized Greeting".
e.g.  Insert "2_Dear, congratulations on making a fortune this year!".
*  Navigate to the 'Info' sheet and locate Column N to find the recommend greeting.
* Customized Greeting Message, max=60</t>
      </text>
    </comment>
    <comment ref="AX2" authorId="0" shapeId="0">
      <text>
        <t>如果需要賀卡，則必須填寫「心意送 - 賀卡署名」。
If user need a greeting e-card, user must fill-in "Surprise Delivery - Signature".</t>
      </text>
    </comment>
    <comment ref="AY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AZ2" authorId="0" shapeId="0">
      <text>
        <t>只有使用增值服務 - 心意送，或指定月結號才可以使用增值服務 - 定時派送（指定時段）。
The Fixed Time Delivery (Appointed Time) service may only be utilized in conjunction with the Surprise Delivery service or by using a designated credit account.</t>
      </text>
    </comment>
    <comment ref="BA2" authorId="0" shapeId="0">
      <text>
        <t>只有指定月結號才可以設置收件校驗碼。
Only designated monthly statement accounts can set up recipient verification codes.</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htm.sf-express.com/mobile/hk/tc/promotions/detail/Surprise-Delivery-E-Card-Examples/" TargetMode="External" Id="rId1"/><Relationship Type="http://schemas.openxmlformats.org/officeDocument/2006/relationships/hyperlink" Target="https://htm.sf-express.com/mobile/hk/en/promotions/detail/Surprise-Delivery-E-Card-Examples/" TargetMode="External" Id="rId2"/><Relationship Type="http://schemas.openxmlformats.org/officeDocument/2006/relationships/hyperlink" Target="https://htm.sf-express.com/mobile/hk/sc/promotions/detail/Surprise-Delivery-E-Card-Examples/" TargetMode="External" Id="rId3"/></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1">
    <outlinePr summaryBelow="1" summaryRight="1"/>
    <pageSetUpPr/>
  </sheetPr>
  <dimension ref="A1:BA100"/>
  <sheetViews>
    <sheetView tabSelected="1" workbookViewId="0">
      <pane xSplit="1" ySplit="2" topLeftCell="AG3" activePane="bottomRight" state="frozen"/>
      <selection activeCell="A1" sqref="A1"/>
      <selection pane="topRight" activeCell="A1" sqref="A1"/>
      <selection pane="bottomLeft" activeCell="A1" sqref="A1"/>
      <selection pane="bottomRight" activeCell="AK3" sqref="AK3"/>
    </sheetView>
  </sheetViews>
  <sheetFormatPr baseColWidth="8" defaultColWidth="9" defaultRowHeight="16.5"/>
  <cols>
    <col width="20.625" customWidth="1" style="108" min="1" max="2"/>
    <col width="15.625" customWidth="1" style="106" min="3" max="3"/>
    <col width="20.625" customWidth="1" style="107" min="4" max="5"/>
    <col width="35.625" customWidth="1" style="108" min="6" max="6"/>
    <col width="20.625" customWidth="1" style="108" min="7" max="9"/>
    <col width="40.625" customWidth="1" style="108" min="10" max="10"/>
    <col width="20.625" customWidth="1" style="108" min="11" max="11"/>
    <col width="15.625" customWidth="1" style="106" min="12" max="12"/>
    <col width="20.625" customWidth="1" style="107" min="13" max="14"/>
    <col width="35.625" customWidth="1" style="108" min="15" max="15"/>
    <col width="18.625" customWidth="1" style="108" min="16" max="16"/>
    <col width="20.625" customWidth="1" style="115" min="17" max="17"/>
    <col width="25.625" customWidth="1" style="108" min="18" max="18"/>
    <col width="20.625" customWidth="1" style="108" min="19" max="19"/>
    <col width="40.625" customWidth="1" style="108" min="20" max="20"/>
    <col width="30.625" customWidth="1" style="115" min="21" max="21"/>
    <col width="20.625" customWidth="1" style="106" min="22" max="22"/>
    <col width="25.625" customWidth="1" style="115" min="23" max="23"/>
    <col width="15.625" customWidth="1" style="106" min="24" max="25"/>
    <col width="15.625" customWidth="1" style="115" min="26" max="26"/>
    <col width="15.625" customWidth="1" style="106" min="27" max="27"/>
    <col width="15.625" customWidth="1" style="115" min="28" max="28"/>
    <col width="25.625" customWidth="1" style="115" min="29" max="29"/>
    <col width="24.625" customWidth="1" style="106" min="30" max="30"/>
    <col width="35.625" customWidth="1" style="106" min="31" max="31"/>
    <col width="40.625" customWidth="1" style="108" min="32" max="32"/>
    <col width="40.625" customWidth="1" style="115" min="33" max="33"/>
    <col width="30.625" customWidth="1" style="115" min="34" max="35"/>
    <col width="35.625" customWidth="1" style="106" min="36" max="36"/>
    <col width="24.625" customWidth="1" style="124" min="37" max="37"/>
    <col width="24.625" customWidth="1" style="125" min="38" max="38"/>
    <col width="40.625" customWidth="1" style="115" min="39" max="39"/>
    <col width="24.625" customWidth="1" style="106" min="40" max="40"/>
    <col width="20.625" customWidth="1" style="115" min="41" max="41"/>
    <col width="25.625" customWidth="1" style="115" min="42" max="42"/>
    <col width="20.625" customWidth="1" style="115" min="43" max="43"/>
    <col width="20.625" customWidth="1" style="106" min="44" max="44"/>
    <col width="24.625" customWidth="1" style="106" min="45" max="45"/>
    <col width="50.625" customWidth="1" style="115" min="46" max="46"/>
    <col width="20.625" customWidth="1" style="106" min="47" max="47"/>
    <col width="20.625" customWidth="1" style="108" min="48" max="48"/>
    <col width="40.625" customWidth="1" style="108" min="49" max="49"/>
    <col width="30.625" customWidth="1" style="108" min="50" max="50"/>
    <col width="30.625" customWidth="1" style="106" min="51" max="51"/>
    <col width="24.625" customWidth="1" style="106" min="52" max="52"/>
    <col width="18.625" customWidth="1" style="108" min="53" max="53"/>
    <col width="9" customWidth="1" style="115"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116"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 xml:space="preserve">稅金付款帳號
Bill Account for Duties and Taxes </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 r="A3" t="inlineStr">
        <is>
          <t>ORD-504431</t>
        </is>
      </c>
      <c r="B3" t="inlineStr">
        <is>
          <t>潘正儀</t>
        </is>
      </c>
      <c r="C3" t="n">
        <v>852</v>
      </c>
      <c r="D3" t="inlineStr">
        <is>
          <t>66832382</t>
        </is>
      </c>
      <c r="G3" t="inlineStr">
        <is>
          <t>香港/Hong Kong</t>
        </is>
      </c>
      <c r="H3" t="inlineStr">
        <is>
          <t>黃大仙區</t>
        </is>
      </c>
      <c r="I3" t="inlineStr">
        <is>
          <t>新蒲崗</t>
        </is>
      </c>
      <c r="J3" t="inlineStr">
        <is>
          <t>大有街33號佳力工業大廈603室</t>
        </is>
      </c>
      <c r="K3" t="inlineStr">
        <is>
          <t>馬凱川</t>
        </is>
      </c>
      <c r="L3" t="n">
        <v>86</v>
      </c>
      <c r="M3" t="inlineStr">
        <is>
          <t>15818717319</t>
        </is>
      </c>
      <c r="P3" s="135" t="n"/>
      <c r="Q3" s="114" t="inlineStr">
        <is>
          <t>广东省</t>
        </is>
      </c>
      <c r="R3" s="108" t="inlineStr">
        <is>
          <t>深圳市</t>
        </is>
      </c>
      <c r="S3" s="108" t="inlineStr">
        <is>
          <t>龙岗区</t>
        </is>
      </c>
      <c r="T3" s="108" t="inlineStr">
        <is>
          <t>南联丘屋街17号2楼</t>
        </is>
      </c>
      <c r="W3" t="inlineStr">
        <is>
          <t>Activitae 長青護心高鈣脫脂奶粉</t>
        </is>
      </c>
      <c r="X3" t="n">
        <v>0.1</v>
      </c>
      <c r="Y3" t="n">
        <v>2</v>
      </c>
      <c r="Z3" t="inlineStr">
        <is>
          <t>件/piece</t>
        </is>
      </c>
      <c r="AA3" t="n">
        <v>19</v>
      </c>
      <c r="AB3" t="inlineStr">
        <is>
          <t>港元/HKD</t>
        </is>
      </c>
      <c r="AC3" t="inlineStr">
        <is>
          <t>中國台灣/Taiwan China</t>
        </is>
      </c>
      <c r="AD3" t="n">
        <v>2.8</v>
      </c>
      <c r="AE3" t="n">
        <v>1</v>
      </c>
      <c r="AG3" t="inlineStr">
        <is>
          <t>E順遞/EC-Ship</t>
        </is>
      </c>
      <c r="AH3" t="inlineStr">
        <is>
          <t>寄付月結/Pay by Sender (Credit Account)</t>
        </is>
      </c>
      <c r="AI3" t="inlineStr">
        <is>
          <t>寄付月結/Pay by Sender (Credit Account)</t>
        </is>
      </c>
      <c r="AJ3" t="inlineStr">
        <is>
          <t>8526937071</t>
        </is>
      </c>
      <c r="AY3" s="124" t="n"/>
      <c r="AZ3" s="120" t="n"/>
    </row>
    <row r="4">
      <c r="A4" t="inlineStr">
        <is>
          <t>ORD-504431</t>
        </is>
      </c>
      <c r="P4" s="135" t="n"/>
      <c r="W4" t="inlineStr">
        <is>
          <t>Activitae 納豆紅麴+Q10</t>
        </is>
      </c>
      <c r="X4" t="n">
        <v>0.1</v>
      </c>
      <c r="Y4" t="n">
        <v>4</v>
      </c>
      <c r="Z4" t="inlineStr">
        <is>
          <t>件/piece</t>
        </is>
      </c>
      <c r="AA4" t="n">
        <v>17</v>
      </c>
      <c r="AB4" t="inlineStr">
        <is>
          <t>港元/HKD</t>
        </is>
      </c>
      <c r="AC4" t="inlineStr">
        <is>
          <t>中國台灣/Taiwan China</t>
        </is>
      </c>
      <c r="AY4" s="121" t="n"/>
      <c r="AZ4" s="120" t="n"/>
    </row>
    <row r="5">
      <c r="A5" t="inlineStr">
        <is>
          <t>ORD-504431</t>
        </is>
      </c>
      <c r="P5" s="135" t="n"/>
      <c r="W5" t="inlineStr">
        <is>
          <t>Activitae女士寶第三代升級版</t>
        </is>
      </c>
      <c r="X5" t="n">
        <v>0.1</v>
      </c>
      <c r="Y5" t="n">
        <v>4</v>
      </c>
      <c r="Z5" t="inlineStr">
        <is>
          <t>件/piece</t>
        </is>
      </c>
      <c r="AA5" t="n">
        <v>14</v>
      </c>
      <c r="AB5" t="inlineStr">
        <is>
          <t>港元/HKD</t>
        </is>
      </c>
      <c r="AC5" t="inlineStr">
        <is>
          <t>中國台灣/Taiwan China</t>
        </is>
      </c>
    </row>
    <row r="6">
      <c r="A6" t="inlineStr">
        <is>
          <t>ORD-504431</t>
        </is>
      </c>
      <c r="P6" s="135" t="n"/>
      <c r="W6" t="inlineStr">
        <is>
          <t>Activitae man plus</t>
        </is>
      </c>
      <c r="X6" t="n">
        <v>0.1</v>
      </c>
      <c r="Y6" t="n">
        <v>5</v>
      </c>
      <c r="Z6" t="inlineStr">
        <is>
          <t>件/piece</t>
        </is>
      </c>
      <c r="AA6" t="n">
        <v>17</v>
      </c>
      <c r="AB6" t="inlineStr">
        <is>
          <t>港元/HKD</t>
        </is>
      </c>
      <c r="AC6" t="inlineStr">
        <is>
          <t>中國台灣/Taiwan China</t>
        </is>
      </c>
    </row>
    <row r="7">
      <c r="A7" t="inlineStr">
        <is>
          <t>ORD-504431</t>
        </is>
      </c>
      <c r="P7" s="135" t="n"/>
      <c r="W7" t="inlineStr">
        <is>
          <t>Activitae 益生菌第二代升級版</t>
        </is>
      </c>
      <c r="X7" t="n">
        <v>0.1</v>
      </c>
      <c r="Y7" t="n">
        <v>4</v>
      </c>
      <c r="Z7" t="inlineStr">
        <is>
          <t>件/piece</t>
        </is>
      </c>
      <c r="AA7" t="n">
        <v>14</v>
      </c>
      <c r="AB7" t="inlineStr">
        <is>
          <t>港元/HKD</t>
        </is>
      </c>
      <c r="AC7" t="inlineStr">
        <is>
          <t>中國台灣/Taiwan China</t>
        </is>
      </c>
    </row>
    <row r="8">
      <c r="A8" t="inlineStr">
        <is>
          <t>ORD-504431</t>
        </is>
      </c>
      <c r="P8" s="135" t="n"/>
      <c r="W8" t="inlineStr">
        <is>
          <t>Activitae嬌妍寶</t>
        </is>
      </c>
      <c r="X8" t="n">
        <v>0.1</v>
      </c>
      <c r="Y8" t="n">
        <v>2</v>
      </c>
      <c r="Z8" t="inlineStr">
        <is>
          <t>件/piece</t>
        </is>
      </c>
      <c r="AA8" t="n">
        <v>11</v>
      </c>
      <c r="AB8" t="inlineStr">
        <is>
          <t>港元/HKD</t>
        </is>
      </c>
      <c r="AC8" t="inlineStr">
        <is>
          <t>中國台灣/Taiwan China</t>
        </is>
      </c>
    </row>
    <row r="9">
      <c r="A9" t="inlineStr">
        <is>
          <t>ORD-504431</t>
        </is>
      </c>
      <c r="P9" s="135" t="n"/>
      <c r="W9" t="inlineStr">
        <is>
          <t>Activitae 健肝寶加強版</t>
        </is>
      </c>
      <c r="X9" t="n">
        <v>0.1</v>
      </c>
      <c r="Y9" t="n">
        <v>2</v>
      </c>
      <c r="Z9" t="inlineStr">
        <is>
          <t>件/piece</t>
        </is>
      </c>
      <c r="AA9" t="n">
        <v>14</v>
      </c>
      <c r="AB9" t="inlineStr">
        <is>
          <t>港元/HKD</t>
        </is>
      </c>
      <c r="AC9" t="inlineStr">
        <is>
          <t>中國台灣/Taiwan China</t>
        </is>
      </c>
    </row>
    <row r="10">
      <c r="A10" t="inlineStr">
        <is>
          <t>ORD-504431</t>
        </is>
      </c>
      <c r="P10" s="135" t="n"/>
      <c r="W10" t="inlineStr">
        <is>
          <t>BELSANTE 增強免疫力之寶第二代</t>
        </is>
      </c>
      <c r="X10" t="n">
        <v>0.1</v>
      </c>
      <c r="Y10" t="n">
        <v>5</v>
      </c>
      <c r="Z10" t="inlineStr">
        <is>
          <t>件/piece</t>
        </is>
      </c>
      <c r="AA10" t="n">
        <v>16</v>
      </c>
      <c r="AB10" t="inlineStr">
        <is>
          <t>港元/HKD</t>
        </is>
      </c>
      <c r="AC10" t="inlineStr">
        <is>
          <t>中國台灣/Taiwan China</t>
        </is>
      </c>
    </row>
    <row r="11">
      <c r="A11" t="inlineStr">
        <is>
          <t>ORD-556832</t>
        </is>
      </c>
      <c r="B11" t="inlineStr">
        <is>
          <t>潘正儀</t>
        </is>
      </c>
      <c r="C11" t="n">
        <v>852</v>
      </c>
      <c r="D11" t="inlineStr">
        <is>
          <t>66832382</t>
        </is>
      </c>
      <c r="G11" t="inlineStr">
        <is>
          <t>香港/Hong Kong</t>
        </is>
      </c>
      <c r="H11" t="inlineStr">
        <is>
          <t>黃大仙區</t>
        </is>
      </c>
      <c r="I11" t="inlineStr">
        <is>
          <t>新蒲崗</t>
        </is>
      </c>
      <c r="J11" t="inlineStr">
        <is>
          <t>大有街33號佳力工業大廈603室</t>
        </is>
      </c>
      <c r="K11" t="inlineStr">
        <is>
          <t>叶泽彬</t>
        </is>
      </c>
      <c r="L11" t="n">
        <v>86</v>
      </c>
      <c r="M11" t="inlineStr">
        <is>
          <t>15818717319</t>
        </is>
      </c>
      <c r="P11" s="135" t="n"/>
      <c r="Q11" t="inlineStr">
        <is>
          <t>广东省</t>
        </is>
      </c>
      <c r="R11" t="inlineStr">
        <is>
          <t>深圳市</t>
        </is>
      </c>
      <c r="S11" t="inlineStr">
        <is>
          <t>龙岗区</t>
        </is>
      </c>
      <c r="T11" t="inlineStr">
        <is>
          <t>南联上进一号12号5楼</t>
        </is>
      </c>
      <c r="W11" t="inlineStr">
        <is>
          <t>Activitae 長青護心高鈣脫脂奶粉</t>
        </is>
      </c>
      <c r="X11" t="n">
        <v>0.1</v>
      </c>
      <c r="Y11" t="n">
        <v>2</v>
      </c>
      <c r="Z11" t="inlineStr">
        <is>
          <t>件/piece</t>
        </is>
      </c>
      <c r="AA11" t="n">
        <v>19</v>
      </c>
      <c r="AB11" t="inlineStr">
        <is>
          <t>港元/HKD</t>
        </is>
      </c>
      <c r="AC11" t="inlineStr">
        <is>
          <t>中國台灣/Taiwan China</t>
        </is>
      </c>
      <c r="AD11" t="n">
        <v>3.7</v>
      </c>
      <c r="AE11" t="n">
        <v>1</v>
      </c>
      <c r="AG11" t="inlineStr">
        <is>
          <t>E順遞/EC-Ship</t>
        </is>
      </c>
      <c r="AH11" t="inlineStr">
        <is>
          <t>寄付月結/Pay by Sender (Credit Account)</t>
        </is>
      </c>
      <c r="AI11" t="inlineStr">
        <is>
          <t>寄付月結/Pay by Sender (Credit Account)</t>
        </is>
      </c>
      <c r="AJ11" t="inlineStr">
        <is>
          <t>8526937071</t>
        </is>
      </c>
    </row>
    <row r="12">
      <c r="A12" t="inlineStr">
        <is>
          <t>ORD-556832</t>
        </is>
      </c>
      <c r="P12" s="135" t="n"/>
      <c r="W12" t="inlineStr">
        <is>
          <t>Activitae 螺旋藻</t>
        </is>
      </c>
      <c r="X12" t="n">
        <v>0.1</v>
      </c>
      <c r="Y12" t="n">
        <v>5</v>
      </c>
      <c r="Z12" t="inlineStr">
        <is>
          <t>件/piece</t>
        </is>
      </c>
      <c r="AA12" t="n">
        <v>16</v>
      </c>
      <c r="AB12" t="inlineStr">
        <is>
          <t>港元/HKD</t>
        </is>
      </c>
      <c r="AC12" t="inlineStr">
        <is>
          <t>中國台灣/Taiwan China</t>
        </is>
      </c>
    </row>
    <row r="13">
      <c r="A13" t="inlineStr">
        <is>
          <t>ORD-556832</t>
        </is>
      </c>
      <c r="P13" s="135" t="n"/>
      <c r="W13" t="inlineStr">
        <is>
          <t>Activitae女士寶第三代升級版</t>
        </is>
      </c>
      <c r="X13" t="n">
        <v>0.1</v>
      </c>
      <c r="Y13" t="n">
        <v>5</v>
      </c>
      <c r="Z13" t="inlineStr">
        <is>
          <t>件/piece</t>
        </is>
      </c>
      <c r="AA13" t="n">
        <v>14</v>
      </c>
      <c r="AB13" t="inlineStr">
        <is>
          <t>港元/HKD</t>
        </is>
      </c>
      <c r="AC13" t="inlineStr">
        <is>
          <t>中國台灣/Taiwan China</t>
        </is>
      </c>
    </row>
    <row r="14">
      <c r="A14" t="inlineStr">
        <is>
          <t>ORD-556832</t>
        </is>
      </c>
      <c r="P14" s="135" t="n"/>
      <c r="W14" t="inlineStr">
        <is>
          <t>Activitae man plus</t>
        </is>
      </c>
      <c r="X14" t="n">
        <v>0.1</v>
      </c>
      <c r="Y14" t="n">
        <v>2</v>
      </c>
      <c r="Z14" t="inlineStr">
        <is>
          <t>件/piece</t>
        </is>
      </c>
      <c r="AA14" t="n">
        <v>17</v>
      </c>
      <c r="AB14" t="inlineStr">
        <is>
          <t>港元/HKD</t>
        </is>
      </c>
      <c r="AC14" t="inlineStr">
        <is>
          <t>中國台灣/Taiwan China</t>
        </is>
      </c>
    </row>
    <row r="15">
      <c r="A15" t="inlineStr">
        <is>
          <t>ORD-556832</t>
        </is>
      </c>
      <c r="F15" s="112" t="n"/>
      <c r="P15" s="135" t="n"/>
      <c r="W15" t="inlineStr">
        <is>
          <t>Activitae 蟻木</t>
        </is>
      </c>
      <c r="X15" t="n">
        <v>0.1</v>
      </c>
      <c r="Y15" t="n">
        <v>7</v>
      </c>
      <c r="Z15" t="inlineStr">
        <is>
          <t>件/piece</t>
        </is>
      </c>
      <c r="AA15" t="n">
        <v>13</v>
      </c>
      <c r="AB15" t="inlineStr">
        <is>
          <t>港元/HKD</t>
        </is>
      </c>
      <c r="AC15" t="inlineStr">
        <is>
          <t>中國台灣/Taiwan China</t>
        </is>
      </c>
    </row>
    <row r="16">
      <c r="A16" t="inlineStr">
        <is>
          <t>ORD-556832</t>
        </is>
      </c>
      <c r="P16" s="135" t="n"/>
      <c r="W16" t="inlineStr">
        <is>
          <t>Activitae 元氣寶</t>
        </is>
      </c>
      <c r="X16" t="n">
        <v>0.1</v>
      </c>
      <c r="Y16" t="n">
        <v>5</v>
      </c>
      <c r="Z16" t="inlineStr">
        <is>
          <t>件/piece</t>
        </is>
      </c>
      <c r="AA16" t="n">
        <v>13</v>
      </c>
      <c r="AB16" t="inlineStr">
        <is>
          <t>港元/HKD</t>
        </is>
      </c>
      <c r="AC16" t="inlineStr">
        <is>
          <t>中國台灣/Taiwan China</t>
        </is>
      </c>
    </row>
    <row r="17">
      <c r="A17" t="inlineStr">
        <is>
          <t>ORD-556832</t>
        </is>
      </c>
      <c r="P17" s="135" t="n"/>
      <c r="W17" t="inlineStr">
        <is>
          <t>Activitae 視力寶加強版</t>
        </is>
      </c>
      <c r="X17" t="n">
        <v>0.1</v>
      </c>
      <c r="Y17" t="n">
        <v>5</v>
      </c>
      <c r="Z17" t="inlineStr">
        <is>
          <t>件/piece</t>
        </is>
      </c>
      <c r="AA17" t="n">
        <v>11</v>
      </c>
      <c r="AB17" t="inlineStr">
        <is>
          <t>港元/HKD</t>
        </is>
      </c>
      <c r="AC17" t="inlineStr">
        <is>
          <t>中國台灣/Taiwan China</t>
        </is>
      </c>
    </row>
    <row r="18">
      <c r="A18" t="inlineStr">
        <is>
          <t>ORD-556832</t>
        </is>
      </c>
      <c r="P18" s="135" t="n"/>
      <c r="W18" t="inlineStr">
        <is>
          <t>Activitae 益生菌第二代升級版</t>
        </is>
      </c>
      <c r="X18" t="n">
        <v>0.1</v>
      </c>
      <c r="Y18" t="n">
        <v>4</v>
      </c>
      <c r="Z18" t="inlineStr">
        <is>
          <t>件/piece</t>
        </is>
      </c>
      <c r="AA18" t="n">
        <v>14</v>
      </c>
      <c r="AB18" t="inlineStr">
        <is>
          <t>港元/HKD</t>
        </is>
      </c>
      <c r="AC18" t="inlineStr">
        <is>
          <t>中國台灣/Taiwan China</t>
        </is>
      </c>
    </row>
    <row r="19">
      <c r="A19" t="inlineStr">
        <is>
          <t>ORD-556832</t>
        </is>
      </c>
      <c r="P19" s="135" t="n"/>
      <c r="W19" t="inlineStr">
        <is>
          <t>Activitae 賦活寶加強版</t>
        </is>
      </c>
      <c r="X19" t="n">
        <v>0.1</v>
      </c>
      <c r="Y19" t="n">
        <v>2</v>
      </c>
      <c r="Z19" t="inlineStr">
        <is>
          <t>件/piece</t>
        </is>
      </c>
      <c r="AA19" t="n">
        <v>29</v>
      </c>
      <c r="AB19" s="115" t="inlineStr">
        <is>
          <t>港元/HKD</t>
        </is>
      </c>
      <c r="AC19" t="inlineStr">
        <is>
          <t>中國台灣/Taiwan China</t>
        </is>
      </c>
    </row>
    <row r="20">
      <c r="P20" s="135" t="n"/>
    </row>
    <row r="21">
      <c r="P21" s="135" t="n"/>
    </row>
    <row r="22">
      <c r="P22" s="135" t="n"/>
    </row>
    <row r="23">
      <c r="P23" s="135" t="n"/>
    </row>
    <row r="24">
      <c r="P24" s="135" t="n"/>
    </row>
    <row r="25">
      <c r="P25" s="135" t="n"/>
    </row>
    <row r="26">
      <c r="P26" s="135" t="n"/>
    </row>
    <row r="27">
      <c r="P27" s="135" t="n"/>
    </row>
    <row r="28">
      <c r="P28" s="135" t="n"/>
    </row>
    <row r="29">
      <c r="P29" s="135" t="n"/>
    </row>
    <row r="30">
      <c r="P30" s="135" t="n"/>
    </row>
    <row r="31">
      <c r="P31" s="135" t="n"/>
    </row>
    <row r="32">
      <c r="P32" s="135" t="n"/>
    </row>
    <row r="33">
      <c r="P33" s="135" t="n"/>
    </row>
    <row r="34">
      <c r="P34" s="135" t="n"/>
    </row>
    <row r="35">
      <c r="P35" s="135" t="n"/>
    </row>
    <row r="36">
      <c r="P36" s="135" t="n"/>
    </row>
    <row r="37">
      <c r="P37" s="135" t="n"/>
    </row>
    <row r="38">
      <c r="P38" s="135" t="n"/>
    </row>
    <row r="39">
      <c r="P39" s="135" t="n"/>
    </row>
    <row r="40">
      <c r="P40" s="135" t="n"/>
    </row>
    <row r="41">
      <c r="P41" s="135" t="n"/>
    </row>
    <row r="42">
      <c r="P42" s="135" t="n"/>
    </row>
    <row r="43">
      <c r="P43" s="135" t="n"/>
    </row>
    <row r="44">
      <c r="P44" s="135" t="n"/>
    </row>
    <row r="45">
      <c r="P45" s="135" t="n"/>
    </row>
    <row r="46">
      <c r="P46" s="135" t="n"/>
    </row>
    <row r="47">
      <c r="P47" s="135" t="n"/>
    </row>
    <row r="48">
      <c r="P48" s="135" t="n"/>
    </row>
    <row r="49">
      <c r="P49" s="135" t="n"/>
    </row>
    <row r="50">
      <c r="P50" s="135" t="n"/>
    </row>
    <row r="51">
      <c r="P51" s="135" t="n"/>
    </row>
    <row r="52">
      <c r="P52" s="135" t="n"/>
    </row>
    <row r="53">
      <c r="P53" s="135" t="n"/>
    </row>
    <row r="54">
      <c r="P54" s="135" t="n"/>
    </row>
    <row r="55">
      <c r="P55" s="135" t="n"/>
    </row>
    <row r="56">
      <c r="P56" s="135" t="n"/>
    </row>
    <row r="57">
      <c r="P57" s="135" t="n"/>
    </row>
    <row r="58">
      <c r="P58" s="135" t="n"/>
    </row>
    <row r="59">
      <c r="P59" s="135" t="n"/>
    </row>
    <row r="60">
      <c r="P60" s="135" t="n"/>
    </row>
    <row r="61">
      <c r="P61" s="135" t="n"/>
    </row>
    <row r="62">
      <c r="P62" s="135" t="n"/>
    </row>
    <row r="63">
      <c r="P63" s="135" t="n"/>
    </row>
    <row r="64">
      <c r="P64" s="135" t="n"/>
    </row>
    <row r="65">
      <c r="P65" s="135" t="n"/>
    </row>
    <row r="66">
      <c r="P66" s="135" t="n"/>
    </row>
    <row r="67">
      <c r="P67" s="135" t="n"/>
    </row>
    <row r="68">
      <c r="P68" s="135" t="n"/>
    </row>
    <row r="69">
      <c r="P69" s="135" t="n"/>
    </row>
    <row r="70">
      <c r="P70" s="135" t="n"/>
    </row>
    <row r="71">
      <c r="P71" s="135" t="n"/>
    </row>
    <row r="72">
      <c r="P72" s="135" t="n"/>
    </row>
    <row r="73">
      <c r="P73" s="135" t="n"/>
    </row>
    <row r="74">
      <c r="P74" s="135" t="n"/>
    </row>
    <row r="75">
      <c r="P75" s="135" t="n"/>
    </row>
    <row r="76">
      <c r="P76" s="135" t="n"/>
    </row>
    <row r="77">
      <c r="P77" s="135" t="n"/>
    </row>
    <row r="78">
      <c r="P78" s="135" t="n"/>
    </row>
    <row r="79">
      <c r="P79" s="135" t="n"/>
    </row>
    <row r="80">
      <c r="P80" s="135" t="n"/>
    </row>
    <row r="81">
      <c r="P81" s="135" t="n"/>
    </row>
    <row r="82">
      <c r="P82" s="135" t="n"/>
    </row>
    <row r="83">
      <c r="P83" s="135" t="n"/>
    </row>
    <row r="84">
      <c r="P84" s="135" t="n"/>
    </row>
    <row r="85">
      <c r="P85" s="135" t="n"/>
    </row>
    <row r="86">
      <c r="P86" s="135" t="n"/>
    </row>
    <row r="87">
      <c r="P87" s="135" t="n"/>
    </row>
    <row r="88">
      <c r="P88" s="135" t="n"/>
    </row>
    <row r="89">
      <c r="P89" s="135" t="n"/>
    </row>
    <row r="90">
      <c r="P90" s="135" t="n"/>
    </row>
    <row r="91">
      <c r="P91" s="135" t="n"/>
    </row>
    <row r="92">
      <c r="P92" s="135" t="n"/>
    </row>
    <row r="93">
      <c r="P93" s="135" t="n"/>
    </row>
    <row r="94">
      <c r="P94" s="135" t="n"/>
    </row>
    <row r="95">
      <c r="P95" s="135" t="n"/>
    </row>
    <row r="96">
      <c r="P96" s="135" t="n"/>
    </row>
    <row r="97">
      <c r="P97" s="135" t="n"/>
    </row>
    <row r="98">
      <c r="P98" s="135" t="n"/>
    </row>
    <row r="99">
      <c r="P99" s="135" t="n"/>
    </row>
    <row r="100">
      <c r="P100" s="135"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4:A1000">
    <cfRule type="expression" priority="59" dxfId="0">
      <formula>AND(LEN($A3)&lt;&gt;0,LEN($A4)&lt;&gt;0,$A3=$A4)</formula>
    </cfRule>
  </conditionalFormatting>
  <conditionalFormatting sqref="B4:B1000">
    <cfRule type="expression" priority="58" dxfId="1">
      <formula>AND(LEN($A3)&lt;&gt;0,LEN($A4)&lt;&gt;0,$A3=$A4)</formula>
    </cfRule>
  </conditionalFormatting>
  <conditionalFormatting sqref="C4:C1000">
    <cfRule type="expression" priority="57" dxfId="1">
      <formula>AND(LEN($A3)&lt;&gt;0,LEN($A4)&lt;&gt;0,$A3=$A4)</formula>
    </cfRule>
  </conditionalFormatting>
  <conditionalFormatting sqref="D4:D1000">
    <cfRule type="expression" priority="56" dxfId="1">
      <formula>AND(LEN($A3)&lt;&gt;0,LEN($A4)&lt;&gt;0,$A3=$A4)</formula>
    </cfRule>
  </conditionalFormatting>
  <conditionalFormatting sqref="E4:E1000">
    <cfRule type="expression" priority="55" dxfId="1">
      <formula>AND(LEN($A3)&lt;&gt;0,LEN($A4)&lt;&gt;0,$A3=$A4)</formula>
    </cfRule>
  </conditionalFormatting>
  <conditionalFormatting sqref="F4:F1000">
    <cfRule type="expression" priority="54" dxfId="1">
      <formula>AND(LEN($A3)&lt;&gt;0,LEN($A4)&lt;&gt;0,$A3=$A4)</formula>
    </cfRule>
  </conditionalFormatting>
  <conditionalFormatting sqref="G4:G1000">
    <cfRule type="expression" priority="53" dxfId="1">
      <formula>AND(LEN($A3)&lt;&gt;0,LEN($A4)&lt;&gt;0,$A3=$A4)</formula>
    </cfRule>
  </conditionalFormatting>
  <conditionalFormatting sqref="H4:H1000">
    <cfRule type="expression" priority="52" dxfId="1">
      <formula>AND(LEN($A3)&lt;&gt;0,LEN($A4)&lt;&gt;0,$A3=$A4)</formula>
    </cfRule>
  </conditionalFormatting>
  <conditionalFormatting sqref="I4:I1000">
    <cfRule type="expression" priority="51" dxfId="1">
      <formula>AND(LEN($A3)&lt;&gt;0,LEN($A4)&lt;&gt;0,$A3=$A4)</formula>
    </cfRule>
  </conditionalFormatting>
  <conditionalFormatting sqref="J4:J1000">
    <cfRule type="expression" priority="50" dxfId="1">
      <formula>AND(LEN($A3)&lt;&gt;0,LEN($A4)&lt;&gt;0,$A3=$A4)</formula>
    </cfRule>
  </conditionalFormatting>
  <conditionalFormatting sqref="K4:K1000">
    <cfRule type="expression" priority="49" dxfId="1">
      <formula>AND(LEN($A3)&lt;&gt;0,LEN($A4)&lt;&gt;0,$A3=$A4)</formula>
    </cfRule>
  </conditionalFormatting>
  <conditionalFormatting sqref="L4:L1000">
    <cfRule type="expression" priority="48" dxfId="1">
      <formula>AND(LEN($A3)&lt;&gt;0,LEN($A4)&lt;&gt;0,$A3=$A4)</formula>
    </cfRule>
  </conditionalFormatting>
  <conditionalFormatting sqref="M3:M1000">
    <cfRule type="expression" priority="203" dxfId="2">
      <formula>AND(COUNTBLANK($AQ3)=0,COUNTBLANK($M3)=1)</formula>
    </cfRule>
  </conditionalFormatting>
  <conditionalFormatting sqref="M4:M1000">
    <cfRule type="expression" priority="202" dxfId="1">
      <formula>AND(LEN($A3)&lt;&gt;0,LEN($A4)&lt;&gt;0,$A3=$A4)</formula>
    </cfRule>
  </conditionalFormatting>
  <conditionalFormatting sqref="N4:N1000">
    <cfRule type="expression" priority="47" dxfId="1">
      <formula>AND(LEN($A3)&lt;&gt;0,LEN($A4)&lt;&gt;0,$A3=$A4)</formula>
    </cfRule>
  </conditionalFormatting>
  <conditionalFormatting sqref="O4:O1000">
    <cfRule type="expression" priority="46" dxfId="1">
      <formula>AND(LEN($A3)&lt;&gt;0,LEN($A4)&lt;&gt;0,$A3=$A4)</formula>
    </cfRule>
  </conditionalFormatting>
  <conditionalFormatting sqref="P4:P1000">
    <cfRule type="expression" priority="45" dxfId="1">
      <formula>AND(LEN($A3)&lt;&gt;0,LEN($A4)&lt;&gt;0,$A3=$A4)</formula>
    </cfRule>
  </conditionalFormatting>
  <conditionalFormatting sqref="Q3:Q1000">
    <cfRule type="expression" priority="204" dxfId="1">
      <formula>COUNT(SEARCH("853",$P3))&lt;&gt;0</formula>
    </cfRule>
    <cfRule type="expression" priority="205" dxfId="3">
      <formula>COUNT(SEARCH("852",$P3))&lt;&gt;0</formula>
    </cfRule>
  </conditionalFormatting>
  <conditionalFormatting sqref="Q4:Q1000">
    <cfRule type="expression" priority="201" dxfId="1">
      <formula>AND(LEN($A3)&lt;&gt;0,LEN($A4)&lt;&gt;0,$A3=$A4)</formula>
    </cfRule>
  </conditionalFormatting>
  <conditionalFormatting sqref="R3:R1000">
    <cfRule type="expression" priority="199" dxfId="1">
      <formula>COUNT(SEARCH("853",$P3))&lt;&gt;0</formula>
    </cfRule>
    <cfRule type="expression" priority="200" dxfId="3">
      <formula>COUNT(SEARCH("852",$P3))&lt;&gt;0</formula>
    </cfRule>
  </conditionalFormatting>
  <conditionalFormatting sqref="R4:R1000">
    <cfRule type="expression" priority="198" dxfId="1">
      <formula>AND(LEN($A3)&lt;&gt;0,LEN($A4)&lt;&gt;0,$A3=$A4)</formula>
    </cfRule>
  </conditionalFormatting>
  <conditionalFormatting sqref="S3:S1000">
    <cfRule type="expression" priority="196" dxfId="1">
      <formula>COUNT(SEARCH("853",$P3))&lt;&gt;0</formula>
    </cfRule>
    <cfRule type="expression" priority="197" dxfId="3">
      <formula>COUNT(SEARCH("852",$P3))&lt;&gt;0</formula>
    </cfRule>
  </conditionalFormatting>
  <conditionalFormatting sqref="S4:S1000">
    <cfRule type="expression" priority="193" dxfId="1">
      <formula>AND(LEN($A3)&lt;&gt;0,LEN($A4)&lt;&gt;0,$A3=$A4)</formula>
    </cfRule>
  </conditionalFormatting>
  <conditionalFormatting sqref="T3:T1000">
    <cfRule type="expression" priority="191" dxfId="1">
      <formula>COUNT(SEARCH("853",$P3))&lt;&gt;0</formula>
    </cfRule>
    <cfRule type="expression" priority="192" dxfId="3">
      <formula>COUNT(SEARCH("852",$P3))&lt;&gt;0</formula>
    </cfRule>
  </conditionalFormatting>
  <conditionalFormatting sqref="T4:T1000">
    <cfRule type="expression" priority="190" dxfId="1">
      <formula>AND(LEN($A3)&lt;&gt;0,LEN($A4)&lt;&gt;0,$A3=$A4)</formula>
    </cfRule>
  </conditionalFormatting>
  <conditionalFormatting sqref="U3:U1000">
    <cfRule type="expression" priority="207" dxfId="2">
      <formula>AND(OR($Q3="台湾",$Q3="台灣",$Q3="臺灣",$Q3="臺湾",$Q3="Taiwan"),AND($O3&lt;&gt;0),ISBLANK($U3))</formula>
    </cfRule>
  </conditionalFormatting>
  <conditionalFormatting sqref="U4:U1000">
    <cfRule type="expression" priority="189" dxfId="1">
      <formula>AND(LEN($A3)&lt;&gt;0,LEN($A4)&lt;&gt;0,$A3=$A4)</formula>
    </cfRule>
  </conditionalFormatting>
  <conditionalFormatting sqref="V3:V1000">
    <cfRule type="expression" priority="142" dxfId="2">
      <formula>AND(OR($Q3="台湾",$Q3="台灣",$Q3="臺灣",$Q3="臺湾",$Q3="Taiwan"),AND($O3&lt;&gt;0),ISBLANK($V3))</formula>
    </cfRule>
  </conditionalFormatting>
  <conditionalFormatting sqref="V4:V1000">
    <cfRule type="expression" priority="188" dxfId="1">
      <formula>AND(LEN($A3)&lt;&gt;0,LEN($A4)&lt;&gt;0,$A3=$A4)</formula>
    </cfRule>
  </conditionalFormatting>
  <conditionalFormatting sqref="W3:W1000">
    <cfRule type="expression" priority="126" dxfId="2">
      <formula>AND(OR(RIGHT($Q3,8)="Province",RIGHT($Q3,4)="City",RIGHT($Q3,6)="County",RIGHT($Q3,8)="District",RIGHT($Q3,8)="Township"),ISBLANK($W3))</formula>
    </cfRule>
    <cfRule type="expression" priority="127" dxfId="2">
      <formula>AND(OR(RIGHT($Q3,1)="省",RIGHT($Q3,1)="市",RIGHT($Q3,1)="区",RIGHT($Q3,1)="县",RIGHT($Q3,1)="镇",RIGHT($Q3,1)="乡"),ISBLANK($W3))</formula>
    </cfRule>
    <cfRule type="expression" priority="128" dxfId="2">
      <formula>AND(OR(RIGHT($Q3,1)="省",RIGHT($Q3,1)="市",RIGHT($Q3,1)="區",RIGHT($Q3,1)="縣",RIGHT($Q3,1)="鎮",RIGHT($Q3,1)="鄉"),ISBLANK($W3))</formula>
    </cfRule>
    <cfRule type="expression" priority="129" dxfId="2">
      <formula>AND(OR($G3="香港",$G3="Hong Kong",$G3="香港/Hong Kong"),OR($Q3="Hong Kong",$Q3="Hong Kong, China",$Q3="HK",$Q3="HKSAR"),ISBLANK($W3))</formula>
    </cfRule>
    <cfRule type="expression" priority="130" dxfId="2">
      <formula>AND(OR($G3="香港",$G3="Hong Kong",$G3="香港/Hong Kong"),OR($Q3="香港",$Q3="中国香港",$Q3="香港特别行政区"),ISBLANK($W3))</formula>
    </cfRule>
    <cfRule type="expression" priority="131" dxfId="2">
      <formula>AND(OR($G3="香港",$G3="Hong Kong",$G3="香港/Hong Kong"),OR($Q3="香港",$Q3="中國香港",$Q3="香港特別行政區"),ISBLANK($W3))</formula>
    </cfRule>
    <cfRule type="expression" priority="132" dxfId="2">
      <formula>AND(OR($G3="澳门",$G3="澳門",$G3="Macau",$G3="澳門/Macau"),OR($Q3="Macau",$Q3="Macau, China"),ISBLANK($W3))</formula>
    </cfRule>
    <cfRule type="expression" priority="133" dxfId="2">
      <formula>AND(OR($G3="澳门",$G3="澳門",$G3="Macau",$G3="澳門/Macau"),OR($Q3="澳门",$Q3="中国澳门",$Q3="澳门特别行政区"),ISBLANK($W3))</formula>
    </cfRule>
    <cfRule type="expression" priority="134" dxfId="2">
      <formula>AND(OR($G3="澳门",$G3="澳門",$G3="Macau",$G3="澳門/Macau"),OR($Q3="澳門",$Q3="中國澳門",$Q3="澳門特別行政區"),ISBLANK($W3))</formula>
    </cfRule>
    <cfRule type="expression" priority="135" dxfId="2">
      <formula>AND(OR($G3="澳门",$G3="澳門",$G3="Macau",$G3="澳門/Macau"),OR($Q3="Hong Kong",$Q3="Hong Kong, China",$Q3="HK",$Q3="HKSAR",$Q3="Taiwan",$Q3="Taiwan, China"),ISBLANK($W3))</formula>
    </cfRule>
    <cfRule type="expression" priority="136" dxfId="2">
      <formula>AND(OR($G3="澳门",$G3="澳門",$G3="Macau",$G3="澳門/Macau"),OR($Q3="香港",$Q3="中国香港",$Q3="香港特别行政区",$Q3="台湾",$Q3="中国台湾"),ISBLANK($W3))</formula>
    </cfRule>
    <cfRule type="expression" priority="137" dxfId="2">
      <formula>AND(OR($G3="澳门",$G3="澳門",$G3="Macau",$G3="澳門/Macau"),OR($Q3="香港",$Q3="中國香港",$Q3="香港特別行政區",$Q3="台灣",$Q3="中國台灣"),ISBLANK($W3))</formula>
    </cfRule>
    <cfRule type="expression" priority="138" dxfId="2">
      <formula>AND(OR($G3="香港",$G3="Hong Kong",$G3="香港/Hong Kong"),OR($Q3="Macau",$Q3="Macau, China",$Q3="Taiwan",$Q3="Taiwan, China"),ISBLANK($W3))</formula>
    </cfRule>
    <cfRule type="expression" priority="139" dxfId="2">
      <formula>AND(OR($G3="香港",$G3="Hong Kong",$G3="香港/Hong Kong"),OR($Q3="澳门",$Q3="中国澳门",$Q3="澳门特别行政区",$Q3="台湾",$Q3="中国台湾"),ISBLANK($W3))</formula>
    </cfRule>
    <cfRule type="expression" priority="140" dxfId="2">
      <formula>AND(OR($G3="香港",$G3="Hong Kong",$G3="香港/Hong Kong"),OR($Q3="澳門",$Q3="中國澳門",$Q3="澳門特別行政區",$Q3="台灣",$Q3="中國台灣"),ISBLANK($W3))</formula>
    </cfRule>
    <cfRule type="expression" priority="141" dxfId="2">
      <formula>AND(LEN($X3)&lt;&gt;0,ISBLANK($W3))</formula>
    </cfRule>
  </conditionalFormatting>
  <conditionalFormatting sqref="X3:X1000">
    <cfRule type="expression" priority="110" dxfId="2">
      <formula>AND(OR(RIGHT($Q3,8)="Province",RIGHT($Q3,4)="City",RIGHT($Q3,6)="County",RIGHT($Q3,8)="District",RIGHT($Q3,8)="Township"),ISBLANK($X3))</formula>
    </cfRule>
    <cfRule type="expression" priority="111" dxfId="2">
      <formula>AND(OR(RIGHT($Q3,1)="省",RIGHT($Q3,1)="市",RIGHT($Q3,1)="区",RIGHT($Q3,1)="县",RIGHT($Q3,1)="镇",RIGHT($Q3,1)="乡"),ISBLANK($X3))</formula>
    </cfRule>
    <cfRule type="expression" priority="112" dxfId="2">
      <formula>AND(OR(RIGHT($Q3,1)="省",RIGHT($Q3,1)="市",RIGHT($Q3,1)="區",RIGHT($Q3,1)="縣",RIGHT($Q3,1)="鎮",RIGHT($Q3,1)="鄉"),ISBLANK($X3))</formula>
    </cfRule>
    <cfRule type="expression" priority="113" dxfId="2">
      <formula>AND(OR($G3="香港",$G3="Hong Kong",$G3="香港/Hong Kong"),OR($Q3="Hong Kong",$Q3="Hong Kong, China",$Q3="HK",$Q3="HKSAR"),ISBLANK($X3))</formula>
    </cfRule>
    <cfRule type="expression" priority="114" dxfId="2">
      <formula>AND(OR($G3="香港",$G3="Hong Kong",$G3="香港/Hong Kong"),OR($Q3="香港",$Q3="中国香港",$Q3="香港特别行政区"),ISBLANK($X3))</formula>
    </cfRule>
    <cfRule type="expression" priority="115" dxfId="2">
      <formula>AND(OR($G3="香港",$G3="Hong Kong",$G3="香港/Hong Kong"),OR($Q3="香港",$Q3="中國香港",$Q3="香港特別行政區"),ISBLANK($X3))</formula>
    </cfRule>
    <cfRule type="expression" priority="116" dxfId="2">
      <formula>AND(OR($G3="澳门",$G3="澳門",$G3="Macau",$G3="澳門/Macau"),OR($Q3="Macau",$Q3="Macau, China"),ISBLANK($X3))</formula>
    </cfRule>
    <cfRule type="expression" priority="117" dxfId="2">
      <formula>AND(OR($G3="澳门",$G3="澳門",$G3="Macau",$G3="澳門/Macau"),OR($Q3="澳门",$Q3="中国澳门",$Q3="澳门特别行政区"),ISBLANK($X3))</formula>
    </cfRule>
    <cfRule type="expression" priority="118" dxfId="2">
      <formula>AND(OR($G3="澳门",$G3="澳門",$G3="Macau",$G3="澳門/Macau"),OR($Q3="澳門",$Q3="中國澳門",$Q3="澳門特別行政區"),ISBLANK($X3))</formula>
    </cfRule>
    <cfRule type="expression" priority="119" dxfId="2">
      <formula>AND(OR($G3="澳门",$G3="澳門",$G3="Macau",$G3="澳門/Macau"),OR($Q3="Hong Kong",$Q3="Hong Kong, China",$Q3="HK",$Q3="HKSAR",$Q3="Taiwan",$Q3="Taiwan, China"),ISBLANK($X3))</formula>
    </cfRule>
    <cfRule type="expression" priority="120" dxfId="2">
      <formula>AND(OR($G3="澳门",$G3="澳門",$G3="Macau",$G3="澳門/Macau"),OR($Q3="香港",$Q3="中国香港",$Q3="香港特别行政区",$Q3="台湾",$Q3="中国台湾"),ISBLANK($X3))</formula>
    </cfRule>
    <cfRule type="expression" priority="121" dxfId="2">
      <formula>AND(OR($G3="澳门",$G3="澳門",$G3="Macau",$G3="澳門/Macau"),OR($Q3="香港",$Q3="中國香港",$Q3="香港特別行政區",$Q3="台灣",$Q3="中國台灣"),ISBLANK($X3))</formula>
    </cfRule>
    <cfRule type="expression" priority="122" dxfId="2">
      <formula>AND(OR($G3="香港",$G3="Hong Kong",$G3="香港/Hong Kong"),OR($Q3="Macau",$Q3="Macau, China",$Q3="Taiwan",$Q3="Taiwan, China"),ISBLANK($X3))</formula>
    </cfRule>
    <cfRule type="expression" priority="123" dxfId="2">
      <formula>AND(OR($G3="香港",$G3="Hong Kong",$G3="香港/Hong Kong"),OR($Q3="澳门",$Q3="中国澳门",$Q3="澳门特别行政区",$Q3="台湾",$Q3="中国台湾"),ISBLANK($X3))</formula>
    </cfRule>
    <cfRule type="expression" priority="124" dxfId="2">
      <formula>AND(OR($G3="香港",$G3="Hong Kong",$G3="香港/Hong Kong"),OR($Q3="澳門",$Q3="中國澳門",$Q3="澳門特別行政區",$Q3="台灣",$Q3="中國台灣"),ISBLANK($X3))</formula>
    </cfRule>
    <cfRule type="expression" priority="125" dxfId="2">
      <formula>AND(LEN($W3)&lt;&gt;0,ISBLANK($X3))</formula>
    </cfRule>
  </conditionalFormatting>
  <conditionalFormatting sqref="Y3:Y1000">
    <cfRule type="expression" priority="100" dxfId="2">
      <formula>AND(OR(RIGHT($Q3,8)="Province",RIGHT($Q3,4)="City",RIGHT($Q3,6)="County",RIGHT($Q3,8)="District",RIGHT($Q3,8)="Township"),ISBLANK($Y3))</formula>
    </cfRule>
    <cfRule type="expression" priority="101" dxfId="2">
      <formula>AND(OR(RIGHT($Q3,1)="省",RIGHT($Q3,1)="市",RIGHT($Q3,1)="区",RIGHT($Q3,1)="县",RIGHT($Q3,1)="镇",RIGHT($Q3,1)="乡"),ISBLANK($Y3))</formula>
    </cfRule>
    <cfRule type="expression" priority="102" dxfId="2">
      <formula>AND(OR(RIGHT($Q3,1)="省",RIGHT($Q3,1)="市",RIGHT($Q3,1)="區",RIGHT($Q3,1)="縣",RIGHT($Q3,1)="鎮",RIGHT($Q3,1)="鄉"),ISBLANK($Y3))</formula>
    </cfRule>
    <cfRule type="expression" priority="103" dxfId="2">
      <formula>AND(OR($G3="澳门",$G3="澳門",$G3="Macau",$G3="澳門/Macau"),OR($Q3="Hong Kong",$Q3="Hong Kong, China",$Q3="HK",$Q3="HKSAR",$Q3="Taiwan",$Q3="Taiwan, China"),ISBLANK($Y3))</formula>
    </cfRule>
    <cfRule type="expression" priority="104" dxfId="2">
      <formula>AND(OR($G3="澳门",$G3="澳門",$G3="Macau",$G3="澳門/Macau"),OR($Q3="香港",$Q3="中国香港",$Q3="香港特别行政区",$Q3="台湾",$Q3="中国台湾"),ISBLANK($Y3))</formula>
    </cfRule>
    <cfRule type="expression" priority="105" dxfId="2">
      <formula>AND(OR($G3="澳门",$G3="澳門",$G3="Macau",$G3="澳門/Macau"),OR($Q3="香港",$Q3="中國香港",$Q3="香港特別行政區",$Q3="台灣",$Q3="中國台灣"),ISBLANK($Y3))</formula>
    </cfRule>
    <cfRule type="expression" priority="106" dxfId="2">
      <formula>AND(OR($G3="香港",$G3="Hong Kong",$G3="香港/Hong Kong"),OR($Q3="Macau",$Q3="Macau, China",$Q3="Taiwan",$Q3="Taiwan, China"),ISBLANK($Y3))</formula>
    </cfRule>
    <cfRule type="expression" priority="107" dxfId="2">
      <formula>AND(OR($G3="香港",$G3="Hong Kong",$G3="香港/Hong Kong"),OR($Q3="澳门",$Q3="中国澳门",$Q3="澳门特别行政区",$Q3="台湾",$Q3="中国台湾"),ISBLANK($Y3))</formula>
    </cfRule>
    <cfRule type="expression" priority="108" dxfId="2">
      <formula>AND(OR($G3="香港",$G3="Hong Kong",$G3="香港/Hong Kong"),OR($Q3="澳門",$Q3="中國澳門",$Q3="澳門特別行政區",$Q3="台灣",$Q3="中國台灣"),ISBLANK($Y3))</formula>
    </cfRule>
    <cfRule type="expression" priority="109" dxfId="2">
      <formula>AND(LEN($Z3)&lt;&gt;0,ISBLANK($Y3))</formula>
    </cfRule>
  </conditionalFormatting>
  <conditionalFormatting sqref="Z3:Z1000">
    <cfRule type="expression" priority="90" dxfId="2">
      <formula>AND(OR(RIGHT($Q3,8)="Province",RIGHT($Q3,4)="City",RIGHT($Q3,6)="County",RIGHT($Q3,8)="District",RIGHT($Q3,8)="Township"),ISBLANK($Z3))</formula>
    </cfRule>
    <cfRule type="expression" priority="91" dxfId="2">
      <formula>AND(OR(RIGHT($Q3,1)="省",RIGHT($Q3,1)="市",RIGHT($Q3,1)="区",RIGHT($Q3,1)="县",RIGHT($Q3,1)="镇",RIGHT($Q3,1)="乡"),ISBLANK($Z3))</formula>
    </cfRule>
    <cfRule type="expression" priority="92" dxfId="2">
      <formula>AND(OR(RIGHT($Q3,1)="省",RIGHT($Q3,1)="市",RIGHT($Q3,1)="區",RIGHT($Q3,1)="縣",RIGHT($Q3,1)="鎮",RIGHT($Q3,1)="鄉"),ISBLANK($Z3))</formula>
    </cfRule>
    <cfRule type="expression" priority="93" dxfId="2">
      <formula>AND(OR($G3="澳门",$G3="澳門",$G3="Macau",$G3="澳門/Macau"),OR($Q3="Hong Kong",$Q3="Hong Kong, China",$Q3="HK",$Q3="HKSAR",$Q3="Taiwan",$Q3="Taiwan, China"),ISBLANK($Z3))</formula>
    </cfRule>
    <cfRule type="expression" priority="94" dxfId="2">
      <formula>AND(OR($G3="澳门",$G3="澳門",$G3="Macau",$G3="澳門/Macau"),OR($Q3="香港",$Q3="中国香港",$Q3="香港特别行政区",$Q3="台湾",$Q3="中国台湾"),ISBLANK($Z3))</formula>
    </cfRule>
    <cfRule type="expression" priority="95" dxfId="2">
      <formula>AND(OR($G3="澳门",$G3="澳門",$G3="Macau",$G3="澳門/Macau"),OR($Q3="香港",$Q3="中國香港",$Q3="香港特別行政區",$Q3="台灣",$Q3="中國台灣"),ISBLANK($Z3))</formula>
    </cfRule>
    <cfRule type="expression" priority="96" dxfId="2">
      <formula>AND(OR($G3="香港",$G3="Hong Kong",$G3="香港/Hong Kong"),OR($Q3="Macau",$Q3="Macau, China",$Q3="Taiwan",$Q3="Taiwan, China"),ISBLANK($Z3))</formula>
    </cfRule>
    <cfRule type="expression" priority="97" dxfId="2">
      <formula>AND(OR($G3="香港",$G3="Hong Kong",$G3="香港/Hong Kong"),OR($Q3="澳门",$Q3="中国澳门",$Q3="澳门特别行政区",$Q3="台湾",$Q3="中国台湾"),ISBLANK($Z3))</formula>
    </cfRule>
    <cfRule type="expression" priority="98" dxfId="2">
      <formula>AND(OR($G3="香港",$G3="Hong Kong",$G3="香港/Hong Kong"),OR($Q3="澳門",$Q3="中國澳門",$Q3="澳門特別行政區",$Q3="台灣",$Q3="中國台灣"),ISBLANK($Z3))</formula>
    </cfRule>
    <cfRule type="expression" priority="99" dxfId="2">
      <formula>AND(LEN($Y3)&lt;&gt;0,ISBLANK($Z3))</formula>
    </cfRule>
  </conditionalFormatting>
  <conditionalFormatting sqref="AA3:AA1000">
    <cfRule type="expression" priority="80" dxfId="2">
      <formula>AND(OR(RIGHT($Q3,8)="Province",RIGHT($Q3,4)="City",RIGHT($Q3,6)="County",RIGHT($Q3,8)="District",RIGHT($Q3,8)="Township"),ISBLANK($AA3))</formula>
    </cfRule>
    <cfRule type="expression" priority="81" dxfId="2">
      <formula>AND(OR(RIGHT($Q3,1)="省",RIGHT($Q3,1)="市",RIGHT($Q3,1)="区",RIGHT($Q3,1)="县",RIGHT($Q3,1)="镇",RIGHT($Q3,1)="乡"),ISBLANK($AA3))</formula>
    </cfRule>
    <cfRule type="expression" priority="82" dxfId="2">
      <formula>AND(OR(RIGHT($Q3,1)="省",RIGHT($Q3,1)="市",RIGHT($Q3,1)="區",RIGHT($Q3,1)="縣",RIGHT($Q3,1)="鎮",RIGHT($Q3,1)="鄉"),ISBLANK($AA3))</formula>
    </cfRule>
    <cfRule type="expression" priority="83" dxfId="2">
      <formula>AND(OR($G3="澳门",$G3="澳門",$G3="Macau",$G3="澳門/Macau"),OR($Q3="Hong Kong",$Q3="Hong Kong, China",$Q3="HK",$Q3="HKSAR",$Q3="Taiwan",$Q3="Taiwan, China"),ISBLANK($AA3))</formula>
    </cfRule>
    <cfRule type="expression" priority="84" dxfId="2">
      <formula>AND(OR($G3="澳门",$G3="澳門",$G3="Macau",$G3="澳門/Macau"),OR($Q3="香港",$Q3="中国香港",$Q3="香港特别行政区",$Q3="台湾",$Q3="中国台湾"),ISBLANK($AA3))</formula>
    </cfRule>
    <cfRule type="expression" priority="85" dxfId="2">
      <formula>AND(OR($G3="澳门",$G3="澳門",$G3="Macau",$G3="澳門/Macau"),OR($Q3="香港",$Q3="中國香港",$Q3="香港特別行政區",$Q3="台灣",$Q3="中國台灣"),ISBLANK($AA3))</formula>
    </cfRule>
    <cfRule type="expression" priority="86" dxfId="2">
      <formula>AND(OR($G3="香港",$G3="Hong Kong",$G3="香港/Hong Kong"),OR($Q3="Macau",$Q3="Macau, China",$Q3="Taiwan",$Q3="Taiwan, China"),ISBLANK($AA3))</formula>
    </cfRule>
    <cfRule type="expression" priority="87" dxfId="2">
      <formula>AND(OR($G3="香港",$G3="Hong Kong",$G3="香港/Hong Kong"),OR($Q3="澳门",$Q3="中国澳门",$Q3="澳门特别行政区",$Q3="台湾",$Q3="中国台湾"),ISBLANK($AA3))</formula>
    </cfRule>
    <cfRule type="expression" priority="88" dxfId="2">
      <formula>AND(OR($G3="香港",$G3="Hong Kong",$G3="香港/Hong Kong"),OR($Q3="澳門",$Q3="中國澳門",$Q3="澳門特別行政區",$Q3="台灣",$Q3="中國台灣"),ISBLANK($AA3))</formula>
    </cfRule>
    <cfRule type="expression" priority="89" dxfId="2">
      <formula>AND(LEN($AB3)&lt;&gt;0,ISBLANK($AA3))</formula>
    </cfRule>
  </conditionalFormatting>
  <conditionalFormatting sqref="AB3:AB1000">
    <cfRule type="expression" priority="70" dxfId="2">
      <formula>AND(OR(RIGHT($Q3,8)="Province",RIGHT($Q3,4)="City",RIGHT($Q3,6)="County",RIGHT($Q3,8)="District",RIGHT($Q3,8)="Township"),ISBLANK($AB3))</formula>
    </cfRule>
    <cfRule type="expression" priority="71" dxfId="2">
      <formula>AND(OR(RIGHT($Q3,1)="省",RIGHT($Q3,1)="市",RIGHT($Q3,1)="区",RIGHT($Q3,1)="县",RIGHT($Q3,1)="镇",RIGHT($Q3,1)="乡"),ISBLANK($AB3))</formula>
    </cfRule>
    <cfRule type="expression" priority="72" dxfId="2">
      <formula>AND(OR(RIGHT($Q3,1)="省",RIGHT($Q3,1)="市",RIGHT($Q3,1)="區",RIGHT($Q3,1)="縣",RIGHT($Q3,1)="鎮",RIGHT($Q3,1)="鄉"),ISBLANK($AB3))</formula>
    </cfRule>
    <cfRule type="expression" priority="73" dxfId="2">
      <formula>AND(OR($G3="澳门",$G3="澳門",$G3="Macau",$G3="澳門/Macau"),OR($Q3="Hong Kong",$Q3="Hong Kong, China",$Q3="HK",$Q3="HKSAR",$Q3="Taiwan",$Q3="Taiwan, China"),ISBLANK($AB3))</formula>
    </cfRule>
    <cfRule type="expression" priority="74" dxfId="2">
      <formula>AND(OR($G3="澳门",$G3="澳門",$G3="Macau",$G3="澳門/Macau"),OR($Q3="香港",$Q3="中国香港",$Q3="香港特别行政区",$Q3="台湾",$Q3="中国台湾"),ISBLANK($AB3))</formula>
    </cfRule>
    <cfRule type="expression" priority="75" dxfId="2">
      <formula>AND(OR($G3="澳门",$G3="澳門",$G3="Macau",$G3="澳門/Macau"),OR($Q3="香港",$Q3="中國香港",$Q3="香港特別行政區",$Q3="台灣",$Q3="中國台灣"),ISBLANK($AB3))</formula>
    </cfRule>
    <cfRule type="expression" priority="76" dxfId="2">
      <formula>AND(OR($G3="香港",$G3="Hong Kong",$G3="香港/Hong Kong"),OR($Q3="Macau",$Q3="Macau, China",$Q3="Taiwan",$Q3="Taiwan, China"),ISBLANK($AB3))</formula>
    </cfRule>
    <cfRule type="expression" priority="77" dxfId="2">
      <formula>AND(OR($G3="香港",$G3="Hong Kong",$G3="香港/Hong Kong"),OR($Q3="澳门",$Q3="中国澳门",$Q3="澳门特别行政区",$Q3="台湾",$Q3="中国台湾"),ISBLANK($AB3))</formula>
    </cfRule>
    <cfRule type="expression" priority="78" dxfId="2">
      <formula>AND(OR($G3="香港",$G3="Hong Kong",$G3="香港/Hong Kong"),OR($Q3="澳門",$Q3="中國澳門",$Q3="澳門特別行政區",$Q3="台灣",$Q3="中國台灣"),ISBLANK($AB3))</formula>
    </cfRule>
    <cfRule type="expression" priority="79" dxfId="2">
      <formula>AND(LEN($AA3)&lt;&gt;0,ISBLANK($AB3))</formula>
    </cfRule>
  </conditionalFormatting>
  <conditionalFormatting sqref="AC3:AC1000">
    <cfRule type="expression" priority="61" dxfId="2">
      <formula>AND(OR(RIGHT($Q3,8)="Province",RIGHT($Q3,4)="City",RIGHT($Q3,6)="County",RIGHT($Q3,8)="District",RIGHT($Q3,8)="Township"),ISBLANK($AC3))</formula>
    </cfRule>
    <cfRule type="expression" priority="62" dxfId="2">
      <formula>AND(OR(RIGHT($Q3,1)="省",RIGHT($Q3,1)="市",RIGHT($Q3,1)="区",RIGHT($Q3,1)="县",RIGHT($Q3,1)="镇",RIGHT($Q3,1)="乡"),ISBLANK($AC3))</formula>
    </cfRule>
    <cfRule type="expression" priority="63" dxfId="2">
      <formula>AND(OR(RIGHT($Q3,1)="省",RIGHT($Q3,1)="市",RIGHT($Q3,1)="區",RIGHT($Q3,1)="縣",RIGHT($Q3,1)="鎮",RIGHT($Q3,1)="鄉"),ISBLANK($AC3))</formula>
    </cfRule>
    <cfRule type="expression" priority="64" dxfId="2">
      <formula>AND(OR($G3="澳门",$G3="澳門",$G3="Macau",$G3="澳門/Macau"),OR($Q3="Hong Kong",$Q3="Hong Kong, China",$Q3="HK",$Q3="HKSAR",$Q3="Taiwan",$Q3="Taiwan, China"),ISBLANK($AC3))</formula>
    </cfRule>
    <cfRule type="expression" priority="65" dxfId="2">
      <formula>AND(OR($G3="澳门",$G3="澳門",$G3="Macau",$G3="澳門/Macau"),OR($Q3="香港",$Q3="中国香港",$Q3="香港特别行政区",$Q3="台湾",$Q3="中国台湾"),ISBLANK($AC3))</formula>
    </cfRule>
    <cfRule type="expression" priority="66" dxfId="2">
      <formula>AND(OR($G3="澳门",$G3="澳門",$G3="Macau",$G3="澳門/Macau"),OR($Q3="香港",$Q3="中國香港",$Q3="香港特別行政區",$Q3="台灣",$Q3="中國台灣"),ISBLANK($AC3))</formula>
    </cfRule>
    <cfRule type="expression" priority="67" dxfId="2">
      <formula>AND(OR($G3="香港",$G3="Hong Kong",$G3="香港/Hong Kong"),OR($Q3="Macau",$Q3="Macau, China",$Q3="Taiwan",$Q3="Taiwan, China"),ISBLANK($AC3))</formula>
    </cfRule>
    <cfRule type="expression" priority="68" dxfId="2">
      <formula>AND(OR($G3="香港",$G3="Hong Kong",$G3="香港/Hong Kong"),OR($Q3="澳门",$Q3="中国澳门",$Q3="澳门特别行政区",$Q3="台湾",$Q3="中国台湾"),ISBLANK($AC3))</formula>
    </cfRule>
    <cfRule type="expression" priority="69" dxfId="2">
      <formula>AND(OR($G3="香港",$G3="Hong Kong",$G3="香港/Hong Kong"),OR($Q3="澳門",$Q3="中國澳門",$Q3="澳門特別行政區",$Q3="台灣",$Q3="中國台灣"),ISBLANK($AC3))</formula>
    </cfRule>
  </conditionalFormatting>
  <conditionalFormatting sqref="AD4:AD1000">
    <cfRule type="expression" priority="44" dxfId="1">
      <formula>AND(LEN($A3)&lt;&gt;0,LEN($A4)&lt;&gt;0,$A3=$A4)</formula>
    </cfRule>
  </conditionalFormatting>
  <conditionalFormatting sqref="AE4:AE1000">
    <cfRule type="expression" priority="43" dxfId="1">
      <formula>AND(LEN($A3)&lt;&gt;0,LEN($A4)&lt;&gt;0,$A3=$A4)</formula>
    </cfRule>
  </conditionalFormatting>
  <conditionalFormatting sqref="AF4:AF1000">
    <cfRule type="expression" priority="18" dxfId="1">
      <formula>AND(LEN($A3)&lt;&gt;0,LEN($A4)&lt;&gt;0,$A3=$A4)</formula>
    </cfRule>
  </conditionalFormatting>
  <conditionalFormatting sqref="AG4:AG1000">
    <cfRule type="expression" priority="42" dxfId="1">
      <formula>AND(LEN($A3)&lt;&gt;0,LEN($A4)&lt;&gt;0,$A3=$A4)</formula>
    </cfRule>
  </conditionalFormatting>
  <conditionalFormatting sqref="AH4:AH1000">
    <cfRule type="expression" priority="41" dxfId="1">
      <formula>AND(LEN($A3)&lt;&gt;0,LEN($A4)&lt;&gt;0,$A3=$A4)</formula>
    </cfRule>
  </conditionalFormatting>
  <conditionalFormatting sqref="AI3:AI1000">
    <cfRule type="expression" priority="167" dxfId="2">
      <formula>AND(OR(RIGHT($Q3,8)="Province",RIGHT($Q3,4)="City",RIGHT($Q3,6)="County",RIGHT($Q3,8)="District",RIGHT($Q3,8)="Township"),ISBLANK($AI3),ISBLANK($AJ3))</formula>
    </cfRule>
    <cfRule type="expression" priority="168" dxfId="2">
      <formula>AND(OR(RIGHT($Q3,1)="省",RIGHT($Q3,1)="市",RIGHT($Q3,1)="区",RIGHT($Q3,1)="县",RIGHT($Q3,1)="镇",RIGHT($Q3,1)="乡"),ISBLANK($AI3),ISBLANK($AJ3))</formula>
    </cfRule>
    <cfRule type="expression" priority="169" dxfId="2">
      <formula>AND(OR(RIGHT($Q3,1)="省",RIGHT($Q3,1)="市",RIGHT($Q3,1)="區",RIGHT($Q3,1)="縣",RIGHT($Q3,1)="鎮",RIGHT($Q3,1)="鄉"),ISBLANK($AI3),ISBLANK($AJ3))</formula>
    </cfRule>
    <cfRule type="expression" priority="170" dxfId="2">
      <formula>AND(OR($G3="澳门",$G3="澳門",$G3="Macau",$G3="澳門/Macau"),OR($Q3="香港",$Q3="中國香港",$Q3="香港特別行政區",$Q3="台灣",$Q3="中國台灣"),ISBLANK($AI3),ISBLANK($AJ3))</formula>
    </cfRule>
    <cfRule type="expression" priority="171" dxfId="2">
      <formula>AND(OR($G3="澳门",$G3="澳門",$G3="Macau",$G3="澳門/Macau"),OR($Q3="香港",$Q3="中国香港",$Q3="香港特别行政区",$Q3="台湾",$Q3="中国台湾"),ISBLANK($AI3),ISBLANK($AJ3))</formula>
    </cfRule>
    <cfRule type="expression" priority="172" dxfId="2">
      <formula>AND(OR($G3="澳门",$G3="澳門",$G3="Macau",$G3="澳門/Macau"),OR($Q3="Hong Kong",$Q3="Hong Kong, China",$Q3="HK",$Q3="HKSAR",$Q3="Taiwan",$Q3="Taiwan, China"),ISBLANK($AI3),ISBLANK($AJ3))</formula>
    </cfRule>
    <cfRule type="expression" priority="173" dxfId="2">
      <formula>AND(OR($G3="香港",$G3="Hong Kong",$G3="香港/Hong Kong"),OR($Q3="Macau",$Q3="Macau, China",$Q3="Taiwan",$Q3="Taiwan, China"),ISBLANK($AI3),ISBLANK($AJ3))</formula>
    </cfRule>
    <cfRule type="expression" priority="174" dxfId="2">
      <formula>AND(OR($G3="香港",$G3="Hong Kong",$G3="香港/Hong Kong"),OR($Q3="澳门",$Q3="中国澳门",$Q3="澳门特别行政区",$Q3="台湾",$Q3="中国台湾"),ISBLANK($AI3),ISBLANK($AJ3))</formula>
    </cfRule>
    <cfRule type="expression" priority="175" dxfId="2">
      <formula>AND(OR($G3="香港",$G3="Hong Kong",$G3="香港/Hong Kong"),OR($Q3="澳門",$Q3="中國澳門",$Q3="澳門特別行政區",$Q3="台灣",$Q3="中國台灣"),ISBLANK($AI3),ISBLANK($AJ3))</formula>
    </cfRule>
  </conditionalFormatting>
  <conditionalFormatting sqref="AI4:AI1000">
    <cfRule type="expression" priority="166" dxfId="1">
      <formula>AND(LEN($A3)&lt;&gt;0,LEN($A4)&lt;&gt;0,$A3=$A4)</formula>
    </cfRule>
  </conditionalFormatting>
  <conditionalFormatting sqref="AJ3:AJ1000">
    <cfRule type="expression" priority="37" dxfId="1">
      <formula>AND(OR($AI3="寄付現結/Pay by Sender",$AI3="寄付现结",$AI3="寄付現結",$AI3="Pay by Sender"),COUNTBLANK($AJ$3)=1)</formula>
    </cfRule>
    <cfRule type="expression" priority="144" dxfId="2">
      <formula>AND(OR(RIGHT($Q3,1)="省",RIGHT($Q3,1)="市",RIGHT($Q3,1)="區",RIGHT($Q3,1)="縣",RIGHT($Q3,1)="鎮",RIGHT($Q3,1)="鄉"),ISBLANK($AI3),ISBLANK($AJ3))</formula>
    </cfRule>
    <cfRule type="expression" priority="145" dxfId="2">
      <formula>AND(OR(RIGHT($Q3,1)="省",RIGHT($Q3,1)="市",RIGHT($Q3,1)="区",RIGHT($Q3,1)="县",RIGHT($Q3,1)="镇",RIGHT($Q3,1)="乡"),ISBLANK($AI3),ISBLANK($AJ3))</formula>
    </cfRule>
    <cfRule type="expression" priority="146" dxfId="2">
      <formula>AND(OR(RIGHT($Q3,8)="Province",RIGHT($Q3,4)="City",RIGHT($Q3,6)="County",RIGHT($Q3,8)="District",RIGHT($Q3,8)="Township"),ISBLANK($AI3),ISBLANK($AJ3))</formula>
    </cfRule>
    <cfRule type="expression" priority="147" dxfId="2">
      <formula>AND(OR($G3="澳门",$G3="澳門",$G3="Macau",$G3="澳門/Macau"),OR($Q3="Hong Kong",$Q3="Hong Kong, China",$Q3="HK",$Q3="HKSAR",$Q3="Taiwan",$Q3="Taiwan, China"),ISBLANK($AI3),ISBLANK($AJ3))</formula>
    </cfRule>
    <cfRule type="expression" priority="148" dxfId="2">
      <formula>AND(OR($G3="澳门",$G3="澳門",$G3="Macau",$G3="澳門/Macau"),OR($Q3="香港",$Q3="中国香港",$Q3="香港特别行政区",$Q3="台湾",$Q3="中国台湾"),ISBLANK($AI3),ISBLANK($AJ3))</formula>
    </cfRule>
    <cfRule type="expression" priority="149" dxfId="2">
      <formula>AND(OR($G3="澳门",$G3="澳門",$G3="Macau",$G3="澳門/Macau"),OR($Q3="香港",$Q3="中國香港",$Q3="香港特別行政區",$Q3="台灣",$Q3="中國台灣"),ISBLANK($AI3),ISBLANK($AJ3))</formula>
    </cfRule>
    <cfRule type="expression" priority="150" dxfId="2">
      <formula>AND(OR($G3="香港",$G3="Hong Kong",$G3="香港/Hong Kong"),OR($Q3="Macau",$Q3="Macau, China",$Q3="Taiwan",$Q3="Taiwan, China"),ISBLANK($AI3),ISBLANK($AJ3))</formula>
    </cfRule>
    <cfRule type="expression" priority="151" dxfId="2">
      <formula>AND(OR($G3="香港",$G3="Hong Kong",$G3="香港/Hong Kong"),OR($Q3="澳门",$Q3="中国澳门",$Q3="澳门特别行政区",$Q3="台湾",$Q3="中国台湾"),ISBLANK($AI3),ISBLANK($AJ3))</formula>
    </cfRule>
    <cfRule type="expression" priority="152" dxfId="2">
      <formula>AND(OR($G3="香港",$G3="Hong Kong",$G3="香港/Hong Kong"),OR($Q3="澳門",$Q3="中國澳門",$Q3="澳門特別行政區",$Q3="台灣",$Q3="中國台灣"),ISBLANK($AI3),ISBLANK($AJ3))</formula>
    </cfRule>
    <cfRule type="expression" priority="153" dxfId="2">
      <formula>AND(OR(RIGHT($Q3,1)="省",RIGHT($Q3,1)="市",RIGHT($Q3,1)="區",RIGHT($Q3,1)="縣",RIGHT($Q3,1)="鎮",RIGHT($Q3,1)="鄉"),OR($AI3="寄付月結/Pay by Sender (Credit Account)",$AI3="寄付月结",$AI3="寄付月結",$AI3="Pay by Sender (Credit Account)"),ISBLANK($AJ3))</formula>
    </cfRule>
    <cfRule type="expression" priority="154" dxfId="2">
      <formula>AND(OR(RIGHT($Q3,1)="省",RIGHT($Q3,1)="市",RIGHT($Q3,1)="区",RIGHT($Q3,1)="县",RIGHT($Q3,1)="镇",RIGHT($Q3,1)="乡"),OR($AI3="寄付月結/Pay by Sender (Credit Account)",$AI3="寄付月结",$AI3="寄付月結",$AI3="Pay by Sender (Credit Account)"),ISBLANK($AJ3))</formula>
    </cfRule>
    <cfRule type="expression" priority="155" dxfId="2">
      <formula>AND(OR(RIGHT($Q3,8)="Province",RIGHT($Q3,4)="City",RIGHT($Q3,6)="County",RIGHT($Q3,8)="District",RIGHT($Q3,8)="Township"),OR($AI3="寄付月結/Pay by Sender (Credit Account)",$AI3="寄付月结",$AI3="寄付月結",$AI3="Pay by Sender (Credit Account)"),ISBLANK($AJ3))</formula>
    </cfRule>
    <cfRule type="expression" priority="156"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57"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58"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59" dxfId="2">
      <formula>AND(OR($G3="香港",$G3="Hong Kong",$G3="香港/Hong Kong"),OR($Q3="Macau",$Q3="Macau, China",$Q3="Taiwan",$Q3="Taiwan, China"),OR($AI3="寄付月結/Pay by Sender (Credit Account)",$AI3="寄付月结",$AI3="寄付月結",$AI3="Pay by Sender (Credit Account)"),ISBLANK($AJ3))</formula>
    </cfRule>
    <cfRule type="expression" priority="160"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61"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65" dxfId="1">
      <formula>AND(OR($AI3="到付/Pay by Recipient",$AI3="到付",$AI3="Pay by Recipient"),COUNTBLANK($AJ$3)=1)</formula>
    </cfRule>
  </conditionalFormatting>
  <conditionalFormatting sqref="AJ4:AJ1000">
    <cfRule type="expression" priority="143" dxfId="1">
      <formula>AND(LEN($A3)&lt;&gt;0,LEN($A4)&lt;&gt;0,$A3=$A4)</formula>
    </cfRule>
  </conditionalFormatting>
  <conditionalFormatting sqref="AK3:AK1000">
    <cfRule type="expression" priority="179" dxfId="4">
      <formula>AND($AK3&lt;TODAY(),COUNTBLANK($AK3)=0)</formula>
    </cfRule>
    <cfRule type="expression" priority="180" dxfId="4">
      <formula>AND($AK3&gt;TODAY()+2,COUNTBLANK($AK3)=0)</formula>
    </cfRule>
    <cfRule type="expression" priority="181" dxfId="2">
      <formula>AND(COUNTBLANK($AK3)=1,COUNTBLANK($AL3)=0)</formula>
    </cfRule>
  </conditionalFormatting>
  <conditionalFormatting sqref="AK4:AK1000">
    <cfRule type="expression" priority="178" dxfId="1">
      <formula>AND(LEN($A3)&lt;&gt;0,LEN($A4)&lt;&gt;0,$A3=$A4)</formula>
    </cfRule>
  </conditionalFormatting>
  <conditionalFormatting sqref="AL3:AL1000">
    <cfRule type="expression" priority="177" dxfId="2">
      <formula>AND(COUNTBLANK($AK3)=0,COUNTBLANK($AL3)=1)</formula>
    </cfRule>
  </conditionalFormatting>
  <conditionalFormatting sqref="AL4:AL100">
    <cfRule type="expression" priority="176" dxfId="1">
      <formula>AND(LEN($A3)&lt;&gt;0,LEN($A4)&lt;&gt;0,$A3=$A4)</formula>
    </cfRule>
  </conditionalFormatting>
  <conditionalFormatting sqref="AM4:AM1000">
    <cfRule type="expression" priority="60" dxfId="1">
      <formula>AND(LEN($A3)&lt;&gt;0,LEN($A4)&lt;&gt;0,$A3=$A4)</formula>
    </cfRule>
  </conditionalFormatting>
  <conditionalFormatting sqref="AN4:AN1000">
    <cfRule type="expression" priority="40" dxfId="1">
      <formula>AND(LEN($A3)&lt;&gt;0,LEN($A4)&lt;&gt;0,$A3=$A4)</formula>
    </cfRule>
  </conditionalFormatting>
  <conditionalFormatting sqref="AO4:AO1000">
    <cfRule type="expression" priority="39" dxfId="1">
      <formula>AND(LEN($A3)&lt;&gt;0,LEN($A4)&lt;&gt;0,$A3=$A4)</formula>
    </cfRule>
  </conditionalFormatting>
  <conditionalFormatting sqref="AP3:AP1000">
    <cfRule type="expression" priority="183" dxfId="2">
      <formula>AND(COUNT(SEARCH(4,AO3))&lt;&gt;0,ISBLANK($AP3))</formula>
    </cfRule>
  </conditionalFormatting>
  <conditionalFormatting sqref="AP4:AP1000">
    <cfRule type="expression" priority="182" dxfId="1">
      <formula>AND(LEN($A3)&lt;&gt;0,LEN($A4)&lt;&gt;0,$A3=$A4)</formula>
    </cfRule>
  </conditionalFormatting>
  <conditionalFormatting sqref="AQ4:AQ1000">
    <cfRule type="expression" priority="38" dxfId="1">
      <formula>AND(LEN($A3)&lt;&gt;0,LEN($A4)&lt;&gt;0,$A3=$A4)</formula>
    </cfRule>
  </conditionalFormatting>
  <conditionalFormatting sqref="AR3:AR1000">
    <cfRule type="expression" priority="186" dxfId="2">
      <formula>AND(COUNTBLANK($AR3)=1,COUNTBLANK($AS3)=0)</formula>
    </cfRule>
  </conditionalFormatting>
  <conditionalFormatting sqref="AR4:AR1000">
    <cfRule type="expression" priority="185" dxfId="1">
      <formula>AND(LEN($A3)&lt;&gt;0,LEN($A4)&lt;&gt;0,$A3=$A4)</formula>
    </cfRule>
  </conditionalFormatting>
  <conditionalFormatting sqref="AS3:AS1000">
    <cfRule type="expression" priority="31" dxfId="2">
      <formula>AND(COUNTBLANK($AR3)=0,COUNTBLANK($AS3)=1)</formula>
    </cfRule>
  </conditionalFormatting>
  <conditionalFormatting sqref="AT3:AT1000">
    <cfRule type="expression" priority="32" dxfId="2">
      <formula>AND(OR($Q3="Macau",$Q3="Macau,China"),($AD3&gt;=20),ISBLANK($AT3))</formula>
    </cfRule>
    <cfRule type="expression" priority="33" dxfId="2">
      <formula>AND(OR($Q3="澳门",$Q3="中国澳门",$Q3="澳门特别行政区"),($AD3&gt;=20),ISBLANK($AT3))</formula>
    </cfRule>
    <cfRule type="expression" priority="34" dxfId="2">
      <formula>AND(OR($Q3="澳門",$Q3="中國澳門",$Q3="澳門特別行政區"),($AD3&gt;=20),ISBLANK($AT3))</formula>
    </cfRule>
    <cfRule type="expression" priority="35" dxfId="2">
      <formula>AND(OR($Q3="Hong Kong",$Q3="Hong Kong,China",$Q3="HK",$Q3="HKSAR"),($AD3&gt;=20),ISBLANK($AT3))</formula>
    </cfRule>
    <cfRule type="expression" priority="36" dxfId="2">
      <formula>AND(OR($Q3="香港",$Q3="中国香港",$Q3="香港特别行政区"),($AD3&gt;=20),ISBLANK($AT3))</formula>
    </cfRule>
    <cfRule type="expression" priority="187" dxfId="2">
      <formula>AND(OR($Q3="香港",$Q3="中國香港",$Q3="香港特別行政區"),($AD3&gt;=20),ISBLANK($AT3))</formula>
    </cfRule>
  </conditionalFormatting>
  <conditionalFormatting sqref="AU3:AU1000">
    <cfRule type="expression" priority="20" dxfId="1">
      <formula>COUNT(SEARCH("送貨上樓（無需行樓梯）/Upstairs Delivery (no climb stairs required)",$AT3))&lt;&gt;0</formula>
    </cfRule>
    <cfRule type="expression" priority="21" dxfId="2">
      <formula>AND(OR($AT3="送貨上樓（需行樓梯）",$AT3="Upstairs Delivery (climb stairs required)",$AT3="送貨上樓（需行樓梯）/Upstairs Delivery (climb stairs required)"),ISBLANK($AU3))</formula>
    </cfRule>
    <cfRule type="expression" priority="22" dxfId="1">
      <formula>COUNT(SEARCH("自提點/樓下自取/Self-pickup/Ground floor pickup",$AT3))&lt;&gt;0</formula>
    </cfRule>
  </conditionalFormatting>
  <conditionalFormatting sqref="AU4:AU1000">
    <cfRule type="expression" priority="19" dxfId="1">
      <formula>AND(LEN($A3)&lt;&gt;0,LEN($A4)&lt;&gt;0,$A3=$A4)</formula>
    </cfRule>
  </conditionalFormatting>
  <conditionalFormatting sqref="AV3:AV1000">
    <cfRule type="expression" priority="5" dxfId="2">
      <formula>AND($AW3&lt;&gt;"",$AV3="")</formula>
    </cfRule>
    <cfRule type="expression" priority="3" dxfId="2">
      <formula>AND($AX3&lt;&gt;"",$AV3="")</formula>
    </cfRule>
  </conditionalFormatting>
  <conditionalFormatting sqref="AV4:AV1000">
    <cfRule type="expression" priority="12" dxfId="1">
      <formula>AND(LEN($A3)&lt;&gt;0,LEN($A4)&lt;&gt;0,$A3=$A4)</formula>
    </cfRule>
  </conditionalFormatting>
  <conditionalFormatting sqref="AW3:AW1000">
    <cfRule type="expression" priority="8" dxfId="1">
      <formula>OR($AV3="不選擇",$AV3="不选择",$AV3="No card")</formula>
    </cfRule>
    <cfRule type="expression" priority="7" dxfId="2">
      <formula>AND($AV3&lt;&gt;"",$AW3="",NOT(OR($AV3="No card",$AV3="不选择",$AV3="不選擇")))</formula>
    </cfRule>
    <cfRule type="expression" priority="2" dxfId="2">
      <formula>AND($AX3&lt;&gt;"",$AW3="")</formula>
    </cfRule>
  </conditionalFormatting>
  <conditionalFormatting sqref="AW4:AW1000">
    <cfRule type="expression" priority="11" dxfId="1">
      <formula>AND(LEN($A3)&lt;&gt;0,LEN($A4)&lt;&gt;0,$A3=$A4)</formula>
    </cfRule>
  </conditionalFormatting>
  <conditionalFormatting sqref="AX3:AX1000">
    <cfRule type="expression" priority="9" dxfId="1">
      <formula>OR($AV3="不選擇",$AV3="不选择",$AV3="No card")</formula>
    </cfRule>
    <cfRule type="expression" priority="6" dxfId="2">
      <formula>AND($AV3&lt;&gt;"",$AX3="",NOT(OR($AV3="No card",$AV3="不选择",$AV3="不選擇")))</formula>
    </cfRule>
    <cfRule type="expression" priority="4" dxfId="2">
      <formula>AND($AW3&lt;&gt;"",$AX3="")</formula>
    </cfRule>
  </conditionalFormatting>
  <conditionalFormatting sqref="AX4:AX1000">
    <cfRule type="expression" priority="10" dxfId="1">
      <formula>AND(LEN($A3)&lt;&gt;0,LEN($A4)&lt;&gt;0,$A3=$A4)</formula>
    </cfRule>
  </conditionalFormatting>
  <conditionalFormatting sqref="AY3:AY1000">
    <cfRule type="expression" priority="17" dxfId="4">
      <formula>AND($AY3&lt;TODAY(),COUNTBLANK($AY3)=0)</formula>
    </cfRule>
    <cfRule type="expression" priority="16" dxfId="4">
      <formula>AND($AZ3&lt;&gt;"",$AY3="")</formula>
    </cfRule>
  </conditionalFormatting>
  <conditionalFormatting sqref="AY4:AY1000">
    <cfRule type="expression" priority="15" dxfId="1">
      <formula>AND(LEN($A3)&lt;&gt;0,LEN($A4)&lt;&gt;0,$A3=$A4)</formula>
    </cfRule>
  </conditionalFormatting>
  <conditionalFormatting sqref="AZ3:AZ1000">
    <cfRule type="expression" priority="14" dxfId="2">
      <formula>AND($AY3&lt;&gt;"",$AZ3="")</formula>
    </cfRule>
  </conditionalFormatting>
  <conditionalFormatting sqref="AZ4:AZ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S4:AT1000">
    <cfRule type="expression" priority="184"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O243"/>
  <sheetViews>
    <sheetView topLeftCell="E1" workbookViewId="0">
      <pane ySplit="1" topLeftCell="A2" activePane="bottomLeft" state="frozen"/>
      <selection activeCell="A1" sqref="A1"/>
      <selection pane="bottomLeft" activeCell="J17" sqref="J17"/>
    </sheetView>
  </sheetViews>
  <sheetFormatPr baseColWidth="8" defaultColWidth="9" defaultRowHeight="16.5"/>
  <cols>
    <col width="22.625" customWidth="1" style="89" min="1" max="1"/>
    <col width="22.625" customWidth="1" style="93" min="2" max="3"/>
    <col width="35.625" customWidth="1" style="89" min="4" max="4"/>
    <col width="22.625" customWidth="1" style="89" min="5" max="5"/>
    <col width="22.625" customWidth="1" style="89" min="6" max="6"/>
    <col width="40.625" customWidth="1" style="89" min="7" max="7"/>
    <col width="38.25" customWidth="1" style="89" min="8" max="8"/>
    <col width="40.625" customWidth="1" style="89" min="9" max="9"/>
    <col width="37.5" customWidth="1" style="89" min="10" max="10"/>
    <col width="22.625" customWidth="1" style="89" min="11" max="11"/>
    <col width="22.625" customWidth="1" style="136" min="12" max="12"/>
    <col width="50.625" customWidth="1" style="91" min="13" max="13"/>
    <col width="45.625" customWidth="1" style="91" min="14" max="14"/>
    <col width="35.625" customWidth="1" style="89" min="15" max="15"/>
    <col width="9" customWidth="1" style="89" min="16" max="16384"/>
  </cols>
  <sheetData>
    <row r="1" ht="45" customFormat="1" customHeight="1" s="89">
      <c r="A1" s="92" t="inlineStr">
        <is>
          <t>寄件方 - 城市
Sender - City</t>
        </is>
      </c>
      <c r="B1" s="4" t="inlineStr">
        <is>
          <t>寄件方 - 電話區號
Sender - Area Code</t>
        </is>
      </c>
      <c r="C1" s="4" t="inlineStr">
        <is>
          <t>收件方 - 電話區號
Receiver - Area Code</t>
        </is>
      </c>
      <c r="D1" s="92" t="inlineStr">
        <is>
          <t>證件類型
Receiver - I.D. Type</t>
        </is>
      </c>
      <c r="E1" s="92" t="inlineStr">
        <is>
          <t>托寄物 - 單位
Unit</t>
        </is>
      </c>
      <c r="F1" s="92" t="inlineStr">
        <is>
          <t>托寄物 - 幣種
Currency</t>
        </is>
      </c>
      <c r="G1" s="92" t="inlineStr">
        <is>
          <t>托寄物 - 原產地
Origin</t>
        </is>
      </c>
      <c r="H1" s="92" t="inlineStr">
        <is>
          <t>付款方式
Payment Method</t>
        </is>
      </c>
      <c r="I1" s="92" t="inlineStr">
        <is>
          <t>產品
Product</t>
        </is>
      </c>
      <c r="J1" s="92" t="inlineStr">
        <is>
          <t>稅金付款方式
Bill Account for Duties and Taxes</t>
        </is>
      </c>
      <c r="K1" s="92" t="inlineStr">
        <is>
          <t>增值服務 - 密碼認證
V.A.S. - Secret Key</t>
        </is>
      </c>
      <c r="L1" s="137" t="inlineStr">
        <is>
          <t>預約上門收件日期
Expected Parcel Pick-up Date</t>
        </is>
      </c>
      <c r="M1" s="138" t="inlineStr">
        <is>
          <t>增值服務 - 送貨方式
V.A.S. - Delivery method</t>
        </is>
      </c>
      <c r="N1" s="138" t="inlineStr">
        <is>
          <t>增值服務 - 心意送 - 賀卡+賀卡祝福語
V.A.S. - Surprise Delivery - Greeting e-cards &amp;  Greeting message</t>
        </is>
      </c>
      <c r="O1" s="92" t="inlineStr">
        <is>
          <t>增值服務 - 心意送 - 賀卡署名
V.A.S. - Surprise Delivery - Signature</t>
        </is>
      </c>
    </row>
    <row r="2">
      <c r="A2" s="89" t="inlineStr">
        <is>
          <t>香港/Hong Kong</t>
        </is>
      </c>
      <c r="B2" s="93" t="n">
        <v>852</v>
      </c>
      <c r="C2" s="93" t="n">
        <v>852</v>
      </c>
      <c r="D2" s="89" t="inlineStr">
        <is>
          <t>台灣身份證/Taiwan I.D. Card</t>
        </is>
      </c>
      <c r="E2" s="89" t="inlineStr">
        <is>
          <t>件/piece</t>
        </is>
      </c>
      <c r="F2" s="89" t="inlineStr">
        <is>
          <t>港元/HKD</t>
        </is>
      </c>
      <c r="G2" s="89" t="inlineStr">
        <is>
          <t>阿爾巴尼亞/Albania</t>
        </is>
      </c>
      <c r="H2" s="89" t="inlineStr">
        <is>
          <t>寄付月結/Pay by Sender (Credit Account)</t>
        </is>
      </c>
      <c r="I2" s="89" t="inlineStr">
        <is>
          <t>順豐特快/SF Speedy Express</t>
        </is>
      </c>
      <c r="J2" s="89" t="inlineStr">
        <is>
          <t>寄付月結/Pay by Sender (Credit Account)</t>
        </is>
      </c>
      <c r="K2" s="89" t="inlineStr">
        <is>
          <t>需要/Need</t>
        </is>
      </c>
      <c r="L2" s="136">
        <f>TODAY()+0</f>
        <v/>
      </c>
      <c r="M2" s="91" t="inlineStr">
        <is>
          <t>自提點/樓下自取/Self-pickup/Ground floor pickup</t>
        </is>
      </c>
      <c r="N2" s="98" t="inlineStr">
        <is>
          <t>繁體點擊此查看</t>
        </is>
      </c>
      <c r="O2" s="89" t="inlineStr">
        <is>
          <t>無樣式/No style_1</t>
        </is>
      </c>
    </row>
    <row r="3">
      <c r="A3" s="89" t="inlineStr">
        <is>
          <t>澳門/Macau</t>
        </is>
      </c>
      <c r="B3" s="93" t="n">
        <v>853</v>
      </c>
      <c r="C3" s="93" t="n">
        <v>853</v>
      </c>
      <c r="D3" s="89" t="inlineStr">
        <is>
          <t>台灣居留證/Taiwan Resident Certificate</t>
        </is>
      </c>
      <c r="E3" s="89" t="inlineStr">
        <is>
          <t>套/set</t>
        </is>
      </c>
      <c r="F3" s="89" t="inlineStr">
        <is>
          <t>澳門元/MOP</t>
        </is>
      </c>
      <c r="G3" s="89" t="inlineStr">
        <is>
          <t>阿爾及利亞/Algeria</t>
        </is>
      </c>
      <c r="H3" s="89" t="inlineStr">
        <is>
          <t>寄付現結/Pay by Sender</t>
        </is>
      </c>
      <c r="I3" s="89" t="inlineStr">
        <is>
          <t>順豐特快﹙文件﹚/SF Speedy Express (Document)</t>
        </is>
      </c>
      <c r="J3" s="89" t="inlineStr">
        <is>
          <t>寄付現結/Pay by Sender</t>
        </is>
      </c>
      <c r="K3" s="89" t="n"/>
      <c r="L3" s="136">
        <f>TODAY()+1</f>
        <v/>
      </c>
      <c r="M3" s="91" t="inlineStr">
        <is>
          <t>送貨上樓（無需行樓梯）/Upstairs Delivery (no climb stairs required)</t>
        </is>
      </c>
      <c r="N3" s="99" t="inlineStr">
        <is>
          <t>Click here for English</t>
        </is>
      </c>
      <c r="O3" s="89" t="inlineStr">
        <is>
          <t>心形樣式/Heart-shaped style_2</t>
        </is>
      </c>
    </row>
    <row r="4">
      <c r="A4" s="89" t="n"/>
      <c r="B4" s="93" t="n">
        <v>86</v>
      </c>
      <c r="C4" s="93" t="n">
        <v>86</v>
      </c>
      <c r="D4" s="89" t="inlineStr">
        <is>
          <t>護照/Passport Number</t>
        </is>
      </c>
      <c r="E4" s="89" t="inlineStr">
        <is>
          <t>條/strip</t>
        </is>
      </c>
      <c r="F4" s="89" t="inlineStr">
        <is>
          <t>人民幣/CNY</t>
        </is>
      </c>
      <c r="G4" s="89" t="inlineStr">
        <is>
          <t>阿富汗/Afghanistan</t>
        </is>
      </c>
      <c r="H4" s="89" t="inlineStr">
        <is>
          <t>到付/Pay by Recipient</t>
        </is>
      </c>
      <c r="I4" s="89" t="inlineStr">
        <is>
          <t>電商盒子 F1/EC Box F1</t>
        </is>
      </c>
      <c r="J4" s="89" t="inlineStr">
        <is>
          <t>到付/Pay by Recipient</t>
        </is>
      </c>
      <c r="L4" s="136">
        <f>TODAY()+2</f>
        <v/>
      </c>
      <c r="M4" s="91" t="inlineStr">
        <is>
          <t>送貨上樓（需行樓梯）/Upstairs Delivery (climb stairs required)</t>
        </is>
      </c>
      <c r="N4" s="100" t="inlineStr">
        <is>
          <t>简体点击此查看</t>
        </is>
      </c>
      <c r="O4" s="89" t="inlineStr">
        <is>
          <t>笑臉樣式/Smiley face style_3</t>
        </is>
      </c>
    </row>
    <row r="5">
      <c r="C5" s="93" t="n">
        <v>886</v>
      </c>
      <c r="D5" s="89" t="inlineStr">
        <is>
          <t>台灣統一編號/Tax I.D. Number</t>
        </is>
      </c>
      <c r="E5" s="89" t="inlineStr">
        <is>
          <t>把</t>
        </is>
      </c>
      <c r="F5" s="89" t="inlineStr">
        <is>
          <t>新台幣/NTD</t>
        </is>
      </c>
      <c r="G5" s="89" t="inlineStr">
        <is>
          <t>阿根廷/Argentina</t>
        </is>
      </c>
      <c r="H5" s="89" t="n"/>
      <c r="I5" s="89" t="inlineStr">
        <is>
          <t>電商盒子 F2/EC Box F2</t>
        </is>
      </c>
      <c r="N5" s="101" t="n"/>
      <c r="O5" s="89" t="inlineStr">
        <is>
          <t>星星樣式/Star-shaped style_4</t>
        </is>
      </c>
    </row>
    <row r="6">
      <c r="C6" s="93" t="n"/>
      <c r="D6" s="89" t="n"/>
      <c r="E6" s="89" t="inlineStr">
        <is>
          <t>包/bag</t>
        </is>
      </c>
      <c r="F6" s="89" t="inlineStr">
        <is>
          <t>美元/USD</t>
        </is>
      </c>
      <c r="G6" s="89" t="inlineStr">
        <is>
          <t>阿拉伯聯合大公國/United Arab Emirates</t>
        </is>
      </c>
      <c r="H6" s="89" t="n"/>
      <c r="I6" s="89" t="inlineStr">
        <is>
          <t>電商盒子 F3/EC Box F3</t>
        </is>
      </c>
      <c r="O6" s="89" t="inlineStr">
        <is>
          <t>雪花樣式/Snowflake-shaped style_5</t>
        </is>
      </c>
    </row>
    <row r="7">
      <c r="C7" s="93" t="n"/>
      <c r="D7" s="89" t="n"/>
      <c r="E7" s="89" t="inlineStr">
        <is>
          <t>本</t>
        </is>
      </c>
      <c r="F7" s="89" t="inlineStr">
        <is>
          <t>英鎊/GBP</t>
        </is>
      </c>
      <c r="G7" s="89" t="inlineStr">
        <is>
          <t>阿魯巴/Aruba</t>
        </is>
      </c>
      <c r="H7" s="89" t="n"/>
      <c r="I7" s="89" t="inlineStr">
        <is>
          <t>電商盒子 F4/EC Box F4</t>
        </is>
      </c>
      <c r="N7" s="98" t="n"/>
      <c r="O7" s="89" t="inlineStr">
        <is>
          <t>無署名/No signature</t>
        </is>
      </c>
    </row>
    <row r="8">
      <c r="C8" s="93" t="n"/>
      <c r="D8" s="89" t="n"/>
      <c r="E8" s="89" t="inlineStr">
        <is>
          <t>袋/bag</t>
        </is>
      </c>
      <c r="F8" s="89" t="inlineStr">
        <is>
          <t>日元/JPY</t>
        </is>
      </c>
      <c r="G8" s="89" t="inlineStr">
        <is>
          <t>阿曼/Oman</t>
        </is>
      </c>
      <c r="H8" s="89" t="n"/>
      <c r="I8" s="89" t="inlineStr">
        <is>
          <t>電商盒子 F5/EC Box F5</t>
        </is>
      </c>
    </row>
    <row r="9">
      <c r="C9" s="93" t="n"/>
      <c r="D9" s="89" t="n"/>
      <c r="E9" s="89" t="inlineStr">
        <is>
          <t>對/pair</t>
        </is>
      </c>
      <c r="F9" s="89" t="inlineStr">
        <is>
          <t>韓元/KRW</t>
        </is>
      </c>
      <c r="G9" s="89" t="inlineStr">
        <is>
          <t>埃及/Egypt</t>
        </is>
      </c>
      <c r="H9" s="89" t="n"/>
      <c r="I9" s="89" t="inlineStr">
        <is>
          <t>電商盒子 F6/EC Box F6</t>
        </is>
      </c>
    </row>
    <row r="10">
      <c r="C10" s="93" t="n"/>
      <c r="D10" s="89" t="n"/>
      <c r="E10" s="89" t="inlineStr">
        <is>
          <t>份</t>
        </is>
      </c>
      <c r="F10" s="89" t="inlineStr">
        <is>
          <t>新加坡元/SGD</t>
        </is>
      </c>
      <c r="G10" s="89" t="inlineStr">
        <is>
          <t>愛爾蘭/Ireland</t>
        </is>
      </c>
      <c r="H10" s="89" t="n"/>
      <c r="I10" s="89" t="inlineStr">
        <is>
          <t>E順遞/EC-Ship</t>
        </is>
      </c>
    </row>
    <row r="11">
      <c r="C11" s="93" t="n"/>
      <c r="D11" s="89" t="n"/>
      <c r="E11" s="89" t="inlineStr">
        <is>
          <t>幅</t>
        </is>
      </c>
      <c r="F11" s="89" t="inlineStr">
        <is>
          <t>馬來西亞令吉/MYR</t>
        </is>
      </c>
      <c r="G11" s="89" t="inlineStr">
        <is>
          <t>愛沙尼亞/Estonia</t>
        </is>
      </c>
      <c r="I11" s="89" t="inlineStr">
        <is>
          <t>店到店/SF Pick Up</t>
        </is>
      </c>
    </row>
    <row r="12">
      <c r="C12" s="93" t="n"/>
      <c r="D12" s="89" t="n"/>
      <c r="E12" s="89" t="inlineStr">
        <is>
          <t>副/pair</t>
        </is>
      </c>
      <c r="F12" s="89" t="inlineStr">
        <is>
          <t>泰銖/THB</t>
        </is>
      </c>
      <c r="G12" s="89" t="inlineStr">
        <is>
          <t>安道爾共和國/Andorra</t>
        </is>
      </c>
      <c r="I12" s="89" t="inlineStr">
        <is>
          <t>店到門/SF Drop Off</t>
        </is>
      </c>
    </row>
    <row r="13">
      <c r="C13" s="93" t="n"/>
      <c r="D13" s="89" t="n"/>
      <c r="E13" s="89" t="inlineStr">
        <is>
          <t>個</t>
        </is>
      </c>
      <c r="G13" s="89" t="inlineStr">
        <is>
          <t>安地卡及巴布達/Antigua and Barbuda</t>
        </is>
      </c>
      <c r="I13" s="89" t="inlineStr">
        <is>
          <t>門到店/SF Drop &amp; Pick</t>
        </is>
      </c>
    </row>
    <row r="14">
      <c r="C14" s="93" t="n"/>
      <c r="D14" s="89" t="n"/>
      <c r="E14" s="89" t="inlineStr">
        <is>
          <t>根</t>
        </is>
      </c>
      <c r="G14" s="89" t="inlineStr">
        <is>
          <t>安哥拉/Angola</t>
        </is>
      </c>
      <c r="I14" s="89" t="inlineStr">
        <is>
          <t>酒類配送/Alcohol Delivery</t>
        </is>
      </c>
      <c r="J14" s="102" t="n"/>
    </row>
    <row r="15">
      <c r="C15" s="93" t="n"/>
      <c r="D15" s="89" t="n"/>
      <c r="E15" s="89" t="inlineStr">
        <is>
          <t>盒/box</t>
        </is>
      </c>
      <c r="G15" s="89" t="inlineStr">
        <is>
          <t>安圭拉島/Anguilla (bahama's)</t>
        </is>
      </c>
      <c r="I15" s="89" t="inlineStr">
        <is>
          <t>板貨專運/Palletized Freight Delivery</t>
        </is>
      </c>
      <c r="K15" s="94" t="n"/>
    </row>
    <row r="16">
      <c r="C16" s="93" t="n"/>
      <c r="D16" s="89" t="n"/>
      <c r="E16" s="89" t="inlineStr">
        <is>
          <t>架</t>
        </is>
      </c>
      <c r="G16" s="89" t="inlineStr">
        <is>
          <t>澳大利亞/Australia</t>
        </is>
      </c>
      <c r="I16" s="89" t="inlineStr">
        <is>
          <t>失物送遞/Lost Property Delivery</t>
        </is>
      </c>
    </row>
    <row r="17">
      <c r="C17" s="93" t="n"/>
      <c r="D17" s="89" t="n"/>
      <c r="E17" s="89" t="inlineStr">
        <is>
          <t>卷/roll</t>
        </is>
      </c>
      <c r="G17" s="89" t="inlineStr">
        <is>
          <t>奧地利/Austria</t>
        </is>
      </c>
      <c r="I17" s="89" t="inlineStr">
        <is>
          <t>SF Ground Freight</t>
        </is>
      </c>
    </row>
    <row r="18">
      <c r="C18" s="93" t="n"/>
      <c r="D18" s="89" t="n"/>
      <c r="E18" s="89" t="inlineStr">
        <is>
          <t>塊/piece</t>
        </is>
      </c>
      <c r="G18" s="89" t="inlineStr">
        <is>
          <t>奧蘭群島/Aland Islands</t>
        </is>
      </c>
      <c r="I18" s="94" t="n"/>
      <c r="J18" s="102" t="n"/>
    </row>
    <row r="19">
      <c r="C19" s="93" t="n"/>
      <c r="D19" s="89" t="n"/>
      <c r="E19" s="89" t="inlineStr">
        <is>
          <t>輛</t>
        </is>
      </c>
      <c r="G19" s="89" t="inlineStr">
        <is>
          <t>巴貝多/Barbados</t>
        </is>
      </c>
      <c r="I19" s="94" t="n"/>
    </row>
    <row r="20">
      <c r="C20" s="93" t="n"/>
      <c r="D20" s="89" t="n"/>
      <c r="E20" s="89" t="inlineStr">
        <is>
          <t>片/piece</t>
        </is>
      </c>
      <c r="G20" s="89" t="inlineStr">
        <is>
          <t>巴布亞紐幾內亞/Papua New Guinea</t>
        </is>
      </c>
      <c r="I20" s="102" t="n"/>
      <c r="K20" s="102" t="n"/>
    </row>
    <row r="21">
      <c r="C21" s="93" t="n"/>
      <c r="D21" s="89" t="n"/>
      <c r="E21" s="89" t="inlineStr">
        <is>
          <t>瓶/bottle</t>
        </is>
      </c>
      <c r="G21" s="89" t="inlineStr">
        <is>
          <t>巴哈馬/Bahamas</t>
        </is>
      </c>
      <c r="I21" s="94" t="n"/>
    </row>
    <row r="22">
      <c r="C22" s="93" t="n"/>
      <c r="D22" s="89" t="n"/>
      <c r="E22" s="89" t="inlineStr">
        <is>
          <t>雙/pair</t>
        </is>
      </c>
      <c r="G22" s="89" t="inlineStr">
        <is>
          <t>巴基斯坦/Pakistan</t>
        </is>
      </c>
      <c r="I22" s="94" t="n"/>
    </row>
    <row r="23">
      <c r="C23" s="93" t="n"/>
      <c r="D23" s="89" t="n"/>
      <c r="E23" s="89" t="inlineStr">
        <is>
          <t>艘</t>
        </is>
      </c>
      <c r="G23" s="89" t="inlineStr">
        <is>
          <t>巴拉圭/Paraguay</t>
        </is>
      </c>
      <c r="I23" s="94" t="n"/>
      <c r="J23" s="102" t="n"/>
    </row>
    <row r="24">
      <c r="C24" s="93" t="n"/>
      <c r="D24" s="89" t="n"/>
      <c r="E24" s="89" t="inlineStr">
        <is>
          <t>臺</t>
        </is>
      </c>
      <c r="G24" s="89" t="inlineStr">
        <is>
          <t>巴勒斯坦/State of Palestine</t>
        </is>
      </c>
      <c r="I24" s="94" t="n"/>
    </row>
    <row r="25">
      <c r="C25" s="93" t="n"/>
      <c r="D25" s="89" t="n"/>
      <c r="E25" s="89" t="inlineStr">
        <is>
          <t>頭</t>
        </is>
      </c>
      <c r="G25" s="89" t="inlineStr">
        <is>
          <t>巴林/Bahrain</t>
        </is>
      </c>
      <c r="I25" s="94" t="n"/>
      <c r="J25" s="103" t="n"/>
    </row>
    <row r="26">
      <c r="C26" s="93" t="n"/>
      <c r="D26" s="89" t="n"/>
      <c r="E26" s="89" t="inlineStr">
        <is>
          <t>箱/box</t>
        </is>
      </c>
      <c r="G26" s="89" t="inlineStr">
        <is>
          <t>巴拿馬/Panama (Rep.)</t>
        </is>
      </c>
      <c r="I26" s="94" t="n"/>
      <c r="J26" s="103" t="n"/>
    </row>
    <row r="27">
      <c r="C27" s="93" t="n"/>
      <c r="D27" s="89" t="n"/>
      <c r="E27" s="89" t="inlineStr">
        <is>
          <t>張/piece</t>
        </is>
      </c>
      <c r="G27" s="89" t="inlineStr">
        <is>
          <t>巴西/Brazil</t>
        </is>
      </c>
      <c r="I27" s="94" t="n"/>
    </row>
    <row r="28">
      <c r="C28" s="93" t="n"/>
      <c r="D28" s="89" t="n"/>
      <c r="E28" s="89" t="inlineStr">
        <is>
          <t>支</t>
        </is>
      </c>
      <c r="G28" s="89" t="inlineStr">
        <is>
          <t>白俄羅斯/Belarus</t>
        </is>
      </c>
      <c r="I28" s="94" t="n"/>
      <c r="J28" s="103" t="n"/>
    </row>
    <row r="29">
      <c r="C29" s="93" t="n"/>
      <c r="D29" s="89" t="n"/>
      <c r="E29" s="89" t="inlineStr">
        <is>
          <t>只</t>
        </is>
      </c>
      <c r="G29" s="89" t="inlineStr">
        <is>
          <t>百慕大群島/Bermuda</t>
        </is>
      </c>
      <c r="I29" s="94" t="n"/>
      <c r="J29" s="103" t="n"/>
    </row>
    <row r="30">
      <c r="C30" s="93" t="n"/>
      <c r="D30" s="89" t="n"/>
      <c r="E30" s="89" t="inlineStr">
        <is>
          <t>枝</t>
        </is>
      </c>
      <c r="G30" s="89" t="inlineStr">
        <is>
          <t>保加利亞/Bulgaria</t>
        </is>
      </c>
    </row>
    <row r="31">
      <c r="C31" s="93" t="n"/>
      <c r="D31" s="89" t="n"/>
      <c r="E31" s="89" t="inlineStr">
        <is>
          <t>組/set</t>
        </is>
      </c>
      <c r="G31" s="89" t="inlineStr">
        <is>
          <t>北馬里安納群島/Northern Mariana Islands</t>
        </is>
      </c>
      <c r="I31" s="94" t="n"/>
    </row>
    <row r="32">
      <c r="C32" s="93" t="n"/>
      <c r="D32" s="94" t="n"/>
      <c r="E32" s="89" t="inlineStr">
        <is>
          <t>座</t>
        </is>
      </c>
      <c r="G32" s="95" t="inlineStr">
        <is>
          <t>貝里斯/Belize</t>
        </is>
      </c>
      <c r="I32" s="94" t="n"/>
    </row>
    <row r="33">
      <c r="C33" s="93" t="n"/>
      <c r="D33" s="94" t="n"/>
      <c r="E33" s="89" t="inlineStr">
        <is>
          <t>米/m</t>
        </is>
      </c>
      <c r="G33" s="95" t="inlineStr">
        <is>
          <t>貝南/Benin</t>
        </is>
      </c>
      <c r="I33" s="94" t="n"/>
      <c r="J33" s="94" t="n"/>
    </row>
    <row r="34">
      <c r="C34" s="93" t="n"/>
      <c r="D34" s="94" t="n"/>
      <c r="E34" s="89" t="inlineStr">
        <is>
          <t>kg/kg</t>
        </is>
      </c>
      <c r="G34" s="89" t="inlineStr">
        <is>
          <t>比利時/Belgium</t>
        </is>
      </c>
      <c r="I34" s="94" t="n"/>
      <c r="J34" s="104" t="n"/>
    </row>
    <row r="35">
      <c r="C35" s="93" t="n"/>
      <c r="D35" s="94" t="n"/>
      <c r="E35" s="89" t="inlineStr">
        <is>
          <t>kpcs/kpcs</t>
        </is>
      </c>
      <c r="G35" s="89" t="inlineStr">
        <is>
          <t>冰島/Iceland</t>
        </is>
      </c>
      <c r="I35" s="94" t="n"/>
      <c r="J35" s="104" t="n"/>
    </row>
    <row r="36">
      <c r="C36" s="93" t="n"/>
      <c r="D36" s="94" t="n"/>
      <c r="E36" s="89" t="inlineStr">
        <is>
          <t>碼/yard</t>
        </is>
      </c>
      <c r="G36" s="89" t="inlineStr">
        <is>
          <t>波多黎各/Puerto Rico</t>
        </is>
      </c>
      <c r="I36" s="94" t="n"/>
      <c r="J36" s="104" t="n"/>
    </row>
    <row r="37">
      <c r="C37" s="93" t="n"/>
      <c r="D37" s="94" t="n"/>
      <c r="E37" s="89" t="inlineStr">
        <is>
          <t>平方英尺/square foot</t>
        </is>
      </c>
      <c r="F37" s="94" t="n"/>
      <c r="G37" s="89" t="inlineStr">
        <is>
          <t>波蘭/Poland</t>
        </is>
      </c>
      <c r="I37" s="94" t="n"/>
      <c r="J37" s="104" t="n"/>
    </row>
    <row r="38">
      <c r="C38" s="93" t="n"/>
      <c r="D38" s="89" t="n"/>
      <c r="E38" s="89" t="inlineStr">
        <is>
          <t>DS/DS</t>
        </is>
      </c>
      <c r="G38" s="89" t="inlineStr">
        <is>
          <t>玻利尼西亞（法屬）/French polynesia</t>
        </is>
      </c>
      <c r="I38" s="94" t="n"/>
      <c r="J38" s="104" t="n"/>
    </row>
    <row r="39">
      <c r="G39" s="89" t="inlineStr">
        <is>
          <t>玻利維亞/Bolivia</t>
        </is>
      </c>
      <c r="J39" s="104" t="n"/>
    </row>
    <row r="40">
      <c r="G40" s="89" t="inlineStr">
        <is>
          <t>波士尼亞赫塞哥維納/Bosnia and Herzegovina</t>
        </is>
      </c>
      <c r="I40" s="94" t="n"/>
    </row>
    <row r="41">
      <c r="G41" s="89" t="inlineStr">
        <is>
          <t>波札那/Botswana</t>
        </is>
      </c>
      <c r="I41" s="94" t="n"/>
    </row>
    <row r="42">
      <c r="G42" s="95" t="inlineStr">
        <is>
          <t>帛琉/Palau</t>
        </is>
      </c>
      <c r="I42" s="94" t="n"/>
    </row>
    <row r="43">
      <c r="G43" s="89" t="inlineStr">
        <is>
          <t>博內爾島/Bonaire</t>
        </is>
      </c>
      <c r="I43" s="94" t="n"/>
    </row>
    <row r="44">
      <c r="G44" s="89" t="inlineStr">
        <is>
          <t>不丹/Bhutan</t>
        </is>
      </c>
    </row>
    <row r="45">
      <c r="G45" s="89" t="inlineStr">
        <is>
          <t>布吉納法索/Burkina faso</t>
        </is>
      </c>
      <c r="I45" s="94" t="n"/>
    </row>
    <row r="46">
      <c r="G46" s="89" t="inlineStr">
        <is>
          <t>布隆迪/Burundi</t>
        </is>
      </c>
      <c r="I46" s="94" t="n"/>
    </row>
    <row r="47">
      <c r="G47" s="95" t="inlineStr">
        <is>
          <t>查德/Chad</t>
        </is>
      </c>
      <c r="I47" s="94" t="n"/>
    </row>
    <row r="48">
      <c r="G48" s="89" t="inlineStr">
        <is>
          <t>朝鮮/Korea (Dem People's Rep.)</t>
        </is>
      </c>
      <c r="I48" s="94" t="n"/>
    </row>
    <row r="49">
      <c r="G49" s="89" t="inlineStr">
        <is>
          <t>赤道幾內亞/Equatorial Guinea</t>
        </is>
      </c>
      <c r="I49" s="94" t="n"/>
    </row>
    <row r="50">
      <c r="G50" s="89" t="inlineStr">
        <is>
          <t>丹麥/Denmark</t>
        </is>
      </c>
      <c r="I50" s="94" t="n"/>
    </row>
    <row r="51">
      <c r="G51" s="89" t="inlineStr">
        <is>
          <t>德國/Germany</t>
        </is>
      </c>
      <c r="I51" s="94" t="n"/>
    </row>
    <row r="52">
      <c r="G52" s="89" t="inlineStr">
        <is>
          <t>東帝汶/Timor-Leste</t>
        </is>
      </c>
      <c r="I52" s="94" t="n"/>
    </row>
    <row r="53">
      <c r="G53" s="95" t="inlineStr">
        <is>
          <t>東加/Tonga</t>
        </is>
      </c>
      <c r="I53" s="94" t="n"/>
    </row>
    <row r="54">
      <c r="G54" s="89" t="inlineStr">
        <is>
          <t>多哥/Togo</t>
        </is>
      </c>
      <c r="I54" s="94" t="n"/>
    </row>
    <row r="55">
      <c r="G55" s="89" t="inlineStr">
        <is>
          <t>多明尼加共和國/Dominican Republic</t>
        </is>
      </c>
      <c r="I55" s="94" t="n"/>
    </row>
    <row r="56">
      <c r="G56" s="89" t="inlineStr">
        <is>
          <t>多明尼克/Dominica</t>
        </is>
      </c>
      <c r="I56" s="94" t="n"/>
    </row>
    <row r="57">
      <c r="G57" s="89" t="inlineStr">
        <is>
          <t>俄羅斯/Russia</t>
        </is>
      </c>
      <c r="I57" s="94" t="n"/>
    </row>
    <row r="58">
      <c r="G58" s="89" t="inlineStr">
        <is>
          <t>厄瓜多爾/Ecuador</t>
        </is>
      </c>
      <c r="I58" s="94" t="n"/>
    </row>
    <row r="59">
      <c r="G59" s="89" t="inlineStr">
        <is>
          <t>厄立特里亞/Eritrea</t>
        </is>
      </c>
      <c r="I59" s="94" t="n"/>
    </row>
    <row r="60">
      <c r="G60" s="89" t="inlineStr">
        <is>
          <t>法國/France</t>
        </is>
      </c>
      <c r="I60" s="94" t="n"/>
    </row>
    <row r="61">
      <c r="G61" s="89" t="inlineStr">
        <is>
          <t>法羅群島/Faroe islands</t>
        </is>
      </c>
      <c r="I61" s="94" t="n"/>
    </row>
    <row r="62">
      <c r="G62" s="89" t="inlineStr">
        <is>
          <t>法屬圭亞那/French guiana</t>
        </is>
      </c>
      <c r="I62" s="94" t="n"/>
    </row>
    <row r="63">
      <c r="G63" s="95" t="inlineStr">
        <is>
          <t>法屬馬丁尼克（法屬）/Martinique (fr)</t>
        </is>
      </c>
    </row>
    <row r="64">
      <c r="G64" s="89" t="inlineStr">
        <is>
          <t>梵蒂岡/Vatican</t>
        </is>
      </c>
      <c r="I64" s="94" t="n"/>
    </row>
    <row r="65">
      <c r="G65" s="89" t="inlineStr">
        <is>
          <t>菲律賓/Philippines</t>
        </is>
      </c>
      <c r="I65" s="94" t="n"/>
    </row>
    <row r="66">
      <c r="G66" s="89" t="inlineStr">
        <is>
          <t>斐濟/Fiji</t>
        </is>
      </c>
      <c r="I66" s="94" t="n"/>
    </row>
    <row r="67">
      <c r="G67" s="89" t="inlineStr">
        <is>
          <t>芬蘭/Finland</t>
        </is>
      </c>
      <c r="I67" s="94" t="n"/>
    </row>
    <row r="68">
      <c r="G68" s="89" t="inlineStr">
        <is>
          <t>福克蘭群島/Falkland islands</t>
        </is>
      </c>
      <c r="I68" s="94" t="n"/>
    </row>
    <row r="69">
      <c r="G69" s="89" t="inlineStr">
        <is>
          <t>甘比亞/Gambia</t>
        </is>
      </c>
      <c r="I69" s="94" t="n"/>
    </row>
    <row r="70">
      <c r="G70" s="89" t="inlineStr">
        <is>
          <t>剛果/Congo</t>
        </is>
      </c>
      <c r="I70" s="94" t="n"/>
    </row>
    <row r="71">
      <c r="G71" s="89" t="inlineStr">
        <is>
          <t>剛果民主共和國/Dem. Rep. of Congo</t>
        </is>
      </c>
      <c r="I71" s="94" t="n"/>
    </row>
    <row r="72">
      <c r="G72" s="89" t="inlineStr">
        <is>
          <t>哥倫比亞/Colombia</t>
        </is>
      </c>
      <c r="I72" s="94" t="n"/>
    </row>
    <row r="73">
      <c r="G73" s="89" t="inlineStr">
        <is>
          <t>哥斯大黎加/Costa Rica</t>
        </is>
      </c>
      <c r="I73" s="94" t="n"/>
    </row>
    <row r="74">
      <c r="G74" s="89" t="inlineStr">
        <is>
          <t>格陵蘭島/Greenland</t>
        </is>
      </c>
      <c r="I74" s="94" t="n"/>
    </row>
    <row r="75">
      <c r="G75" s="89" t="inlineStr">
        <is>
          <t>格魯吉亞/Georgia</t>
        </is>
      </c>
      <c r="I75" s="94" t="n"/>
    </row>
    <row r="76">
      <c r="G76" s="89" t="inlineStr">
        <is>
          <t>格瑞那達/Grenada</t>
        </is>
      </c>
      <c r="I76" s="94" t="n"/>
    </row>
    <row r="77">
      <c r="G77" s="89" t="inlineStr">
        <is>
          <t>根西/Guernsey</t>
        </is>
      </c>
      <c r="I77" s="94" t="n"/>
    </row>
    <row r="78">
      <c r="G78" s="89" t="inlineStr">
        <is>
          <t>古巴/Cuba</t>
        </is>
      </c>
      <c r="I78" s="94" t="n"/>
    </row>
    <row r="79">
      <c r="G79" s="89" t="inlineStr">
        <is>
          <t>瓜德魯普/Guadeloupe</t>
        </is>
      </c>
    </row>
    <row r="80">
      <c r="G80" s="89" t="inlineStr">
        <is>
          <t>關島/Guam (us)</t>
        </is>
      </c>
    </row>
    <row r="81">
      <c r="G81" s="89" t="inlineStr">
        <is>
          <t>圭亞那/Guyana</t>
        </is>
      </c>
    </row>
    <row r="82">
      <c r="G82" s="89" t="inlineStr">
        <is>
          <t>哈薩克斯坦/Kazakhstan</t>
        </is>
      </c>
    </row>
    <row r="83">
      <c r="G83" s="89" t="inlineStr">
        <is>
          <t>海地/Haiti</t>
        </is>
      </c>
    </row>
    <row r="84">
      <c r="G84" s="89" t="inlineStr">
        <is>
          <t>韓國/Korea</t>
        </is>
      </c>
    </row>
    <row r="85">
      <c r="G85" s="89" t="inlineStr">
        <is>
          <t>荷蘭/Netherland</t>
        </is>
      </c>
    </row>
    <row r="86">
      <c r="G86" s="89" t="inlineStr">
        <is>
          <t>黑山/Montenegro (Rep.)</t>
        </is>
      </c>
    </row>
    <row r="87">
      <c r="G87" s="89" t="inlineStr">
        <is>
          <t>洪都拉斯/Honduras</t>
        </is>
      </c>
    </row>
    <row r="88">
      <c r="G88" s="89" t="inlineStr">
        <is>
          <t>吉布地/Djibouti</t>
        </is>
      </c>
    </row>
    <row r="89">
      <c r="G89" s="89" t="inlineStr">
        <is>
          <t>吉爾吉斯坦/Kyrgyzstan</t>
        </is>
      </c>
    </row>
    <row r="90">
      <c r="G90" s="89" t="inlineStr">
        <is>
          <t>吉里巴斯/Kiribati</t>
        </is>
      </c>
    </row>
    <row r="91">
      <c r="G91" s="89" t="inlineStr">
        <is>
          <t>幾內亞/Guinea</t>
        </is>
      </c>
    </row>
    <row r="92">
      <c r="G92" s="89" t="inlineStr">
        <is>
          <t>幾內亞比索/Guinea-Bissau</t>
        </is>
      </c>
    </row>
    <row r="93">
      <c r="G93" s="89" t="inlineStr">
        <is>
          <t>加拿大/Canada</t>
        </is>
      </c>
    </row>
    <row r="94">
      <c r="G94" s="89" t="inlineStr">
        <is>
          <t>迦納/Ghana</t>
        </is>
      </c>
    </row>
    <row r="95">
      <c r="G95" s="89" t="inlineStr">
        <is>
          <t>加蓬/Gabon</t>
        </is>
      </c>
    </row>
    <row r="96">
      <c r="G96" s="89" t="inlineStr">
        <is>
          <t>柬埔寨/Cambodia</t>
        </is>
      </c>
    </row>
    <row r="97">
      <c r="G97" s="89" t="inlineStr">
        <is>
          <t>捷克/Czech Republic</t>
        </is>
      </c>
      <c r="H97" s="94" t="n"/>
    </row>
    <row r="98">
      <c r="G98" s="89" t="inlineStr">
        <is>
          <t>喀麥隆/Cameroon</t>
        </is>
      </c>
    </row>
    <row r="99">
      <c r="G99" s="89" t="inlineStr">
        <is>
          <t>卡達/Qatar</t>
        </is>
      </c>
    </row>
    <row r="100">
      <c r="G100" s="89" t="inlineStr">
        <is>
          <t>開曼群島/Cayman islands</t>
        </is>
      </c>
    </row>
    <row r="101">
      <c r="G101" s="89" t="inlineStr">
        <is>
          <t>科科斯（基林）島/Cocos (KEELING) Island</t>
        </is>
      </c>
    </row>
    <row r="102">
      <c r="G102" s="95" t="inlineStr">
        <is>
          <t>科克群島/Cook islands (NZ)</t>
        </is>
      </c>
    </row>
    <row r="103">
      <c r="G103" s="89" t="inlineStr">
        <is>
          <t>科摩羅/Comoros</t>
        </is>
      </c>
    </row>
    <row r="104">
      <c r="G104" s="89" t="inlineStr">
        <is>
          <t>科索沃/Kosovo</t>
        </is>
      </c>
    </row>
    <row r="105">
      <c r="G105" s="89" t="inlineStr">
        <is>
          <t>科威特/Kuwait</t>
        </is>
      </c>
    </row>
    <row r="106">
      <c r="G106" s="95" t="inlineStr">
        <is>
          <t>克羅埃西亞/Croatia</t>
        </is>
      </c>
    </row>
    <row r="107">
      <c r="G107" s="89" t="inlineStr">
        <is>
          <t>肯尼亞/Kenya</t>
        </is>
      </c>
    </row>
    <row r="108">
      <c r="G108" s="95" t="inlineStr">
        <is>
          <t>庫拉索島/Curacao</t>
        </is>
      </c>
    </row>
    <row r="109">
      <c r="G109" s="89" t="inlineStr">
        <is>
          <t>拉脫維亞/Latvia</t>
        </is>
      </c>
    </row>
    <row r="110">
      <c r="G110" s="89" t="inlineStr">
        <is>
          <t>賴比瑞亞/Liberia</t>
        </is>
      </c>
    </row>
    <row r="111">
      <c r="G111" s="89" t="inlineStr">
        <is>
          <t>賴索托/Lesotho</t>
        </is>
      </c>
      <c r="H111" s="94" t="n"/>
    </row>
    <row r="112">
      <c r="G112" s="89" t="inlineStr">
        <is>
          <t>老撾/Lao People's Dem. Rep.</t>
        </is>
      </c>
      <c r="H112" s="94" t="n"/>
    </row>
    <row r="113">
      <c r="G113" s="89" t="inlineStr">
        <is>
          <t>黎巴嫩/Lebanon</t>
        </is>
      </c>
      <c r="H113" s="94" t="n"/>
    </row>
    <row r="114">
      <c r="G114" s="89" t="inlineStr">
        <is>
          <t>利比亞/Libyan Jamahiriya</t>
        </is>
      </c>
      <c r="H114" s="94" t="n"/>
    </row>
    <row r="115">
      <c r="G115" s="89" t="inlineStr">
        <is>
          <t>立陶宛/Lithuania</t>
        </is>
      </c>
      <c r="H115" s="94" t="n"/>
    </row>
    <row r="116">
      <c r="G116" s="95" t="inlineStr">
        <is>
          <t>留尼汪（法屬）/Reunion (fr)</t>
        </is>
      </c>
      <c r="H116" s="94" t="n"/>
    </row>
    <row r="117">
      <c r="G117" s="89" t="inlineStr">
        <is>
          <t>盧森堡/Luxembourg</t>
        </is>
      </c>
      <c r="H117" s="94" t="n"/>
    </row>
    <row r="118">
      <c r="G118" s="89" t="inlineStr">
        <is>
          <t>盧旺達/Rwanda</t>
        </is>
      </c>
    </row>
    <row r="119">
      <c r="G119" s="89" t="inlineStr">
        <is>
          <t>羅馬尼亞/Romania</t>
        </is>
      </c>
      <c r="H119" s="94" t="n"/>
    </row>
    <row r="120">
      <c r="G120" s="89" t="inlineStr">
        <is>
          <t>馬達加斯加/Madagascar</t>
        </is>
      </c>
    </row>
    <row r="121">
      <c r="G121" s="89" t="inlineStr">
        <is>
          <t>馬恩島/Isle of Man</t>
        </is>
      </c>
      <c r="I121" s="94" t="n"/>
    </row>
    <row r="122">
      <c r="G122" s="89" t="inlineStr">
        <is>
          <t>馬爾地夫/Maldives</t>
        </is>
      </c>
    </row>
    <row r="123">
      <c r="G123" s="89" t="inlineStr">
        <is>
          <t>馬爾他/Malta</t>
        </is>
      </c>
    </row>
    <row r="124">
      <c r="G124" s="89" t="inlineStr">
        <is>
          <t>馬拉威/Malawi</t>
        </is>
      </c>
    </row>
    <row r="125">
      <c r="G125" s="89" t="inlineStr">
        <is>
          <t>馬來西亞/Malaysia</t>
        </is>
      </c>
    </row>
    <row r="126">
      <c r="G126" s="89" t="inlineStr">
        <is>
          <t>馬里/Mali</t>
        </is>
      </c>
    </row>
    <row r="127">
      <c r="G127" s="89" t="inlineStr">
        <is>
          <t>馬其頓/Macedonia</t>
        </is>
      </c>
    </row>
    <row r="128">
      <c r="G128" s="89" t="inlineStr">
        <is>
          <t>馬紹爾群島/Marshall Islands</t>
        </is>
      </c>
    </row>
    <row r="129">
      <c r="G129" s="89" t="inlineStr">
        <is>
          <t>毛利塔尼亞/Mauritania</t>
        </is>
      </c>
    </row>
    <row r="130">
      <c r="G130" s="89" t="inlineStr">
        <is>
          <t>美國/United States</t>
        </is>
      </c>
      <c r="H130" s="94" t="n"/>
    </row>
    <row r="131">
      <c r="G131" s="89" t="inlineStr">
        <is>
          <t>美國海外領地/US Minor Outlying Islands</t>
        </is>
      </c>
      <c r="H131" s="94" t="n"/>
    </row>
    <row r="132">
      <c r="G132" s="89" t="inlineStr">
        <is>
          <t>美屬薩摩亞群島/American Samoa</t>
        </is>
      </c>
      <c r="H132" s="94" t="n"/>
    </row>
    <row r="133">
      <c r="G133" s="89" t="inlineStr">
        <is>
          <t>蒙古/Mongolia</t>
        </is>
      </c>
      <c r="H133" s="94" t="n"/>
    </row>
    <row r="134">
      <c r="G134" s="89" t="inlineStr">
        <is>
          <t>蒙瑟拉特島島/Montserrat</t>
        </is>
      </c>
      <c r="H134" s="94" t="n"/>
    </row>
    <row r="135">
      <c r="G135" s="89" t="inlineStr">
        <is>
          <t>孟加拉/Bangladesh</t>
        </is>
      </c>
      <c r="H135" s="94" t="n"/>
    </row>
    <row r="136">
      <c r="G136" s="89" t="inlineStr">
        <is>
          <t>密克羅尼西亞聯邦/Micronesia, (Federated States)</t>
        </is>
      </c>
      <c r="H136" s="94" t="n"/>
    </row>
    <row r="137">
      <c r="G137" s="89" t="inlineStr">
        <is>
          <t>秘魯/Peru</t>
        </is>
      </c>
      <c r="H137" s="94" t="n"/>
    </row>
    <row r="138">
      <c r="G138" s="89" t="inlineStr">
        <is>
          <t>緬甸/Myanmar</t>
        </is>
      </c>
      <c r="H138" s="94" t="n"/>
    </row>
    <row r="139">
      <c r="G139" s="89" t="inlineStr">
        <is>
          <t>模里西斯/Mauritius</t>
        </is>
      </c>
      <c r="H139" s="94" t="n"/>
    </row>
    <row r="140">
      <c r="G140" s="89" t="inlineStr">
        <is>
          <t>摩洛哥/Morocco</t>
        </is>
      </c>
      <c r="H140" s="94" t="n"/>
    </row>
    <row r="141">
      <c r="G141" s="89" t="inlineStr">
        <is>
          <t>摩納哥/Monaco</t>
        </is>
      </c>
      <c r="H141" s="94" t="n"/>
    </row>
    <row r="142">
      <c r="G142" s="89" t="inlineStr">
        <is>
          <t>莫爾達瓦/Moldova</t>
        </is>
      </c>
      <c r="H142" s="94" t="n"/>
    </row>
    <row r="143">
      <c r="G143" s="89" t="inlineStr">
        <is>
          <t>莫三比克/Mozambique</t>
        </is>
      </c>
      <c r="H143" s="94" t="n"/>
    </row>
    <row r="144">
      <c r="G144" s="89" t="inlineStr">
        <is>
          <t>墨西哥/Mexico</t>
        </is>
      </c>
      <c r="H144" s="94" t="n"/>
    </row>
    <row r="145">
      <c r="G145" s="89" t="inlineStr">
        <is>
          <t>納米比亞/Namibia</t>
        </is>
      </c>
      <c r="H145" s="94" t="n"/>
    </row>
    <row r="146">
      <c r="G146" s="89" t="inlineStr">
        <is>
          <t>奈及利亞/Nigeria</t>
        </is>
      </c>
      <c r="H146" s="94" t="n"/>
    </row>
    <row r="147">
      <c r="G147" s="89" t="inlineStr">
        <is>
          <t>南非/South Africa</t>
        </is>
      </c>
      <c r="H147" s="94" t="n"/>
    </row>
    <row r="148">
      <c r="G148" s="89" t="inlineStr">
        <is>
          <t>南蘇丹/South Sudan</t>
        </is>
      </c>
      <c r="H148" s="94" t="n"/>
    </row>
    <row r="149">
      <c r="G149" s="89" t="inlineStr">
        <is>
          <t>尼泊爾/Nepal</t>
        </is>
      </c>
      <c r="H149" s="94" t="n"/>
    </row>
    <row r="150">
      <c r="G150" s="89" t="inlineStr">
        <is>
          <t>尼加拉瓜/Nicaragua</t>
        </is>
      </c>
      <c r="H150" s="94" t="n"/>
    </row>
    <row r="151">
      <c r="G151" s="89" t="inlineStr">
        <is>
          <t>尼日爾/Niger</t>
        </is>
      </c>
      <c r="H151" s="94" t="n"/>
    </row>
    <row r="152">
      <c r="G152" s="95" t="inlineStr">
        <is>
          <t>紐西蘭/New Zealand</t>
        </is>
      </c>
      <c r="H152" s="94" t="n"/>
    </row>
    <row r="153">
      <c r="G153" s="89" t="inlineStr">
        <is>
          <t>挪威/Norway</t>
        </is>
      </c>
      <c r="H153" s="94" t="n"/>
    </row>
    <row r="154">
      <c r="G154" s="89" t="inlineStr">
        <is>
          <t>諾福克島/Norfolk Island</t>
        </is>
      </c>
      <c r="H154" s="94" t="n"/>
    </row>
    <row r="155">
      <c r="G155" s="89" t="inlineStr">
        <is>
          <t>諾魯/Nauru</t>
        </is>
      </c>
      <c r="H155" s="94" t="n"/>
    </row>
    <row r="156">
      <c r="G156" s="89" t="inlineStr">
        <is>
          <t>葡萄牙/Portugal</t>
        </is>
      </c>
    </row>
    <row r="157">
      <c r="G157" s="95" t="inlineStr">
        <is>
          <t>千里達和多巴哥/Trinidad and Tobago</t>
        </is>
      </c>
      <c r="H157" s="94" t="n"/>
    </row>
    <row r="158">
      <c r="G158" s="89" t="inlineStr">
        <is>
          <t>日本/Japan</t>
        </is>
      </c>
      <c r="H158" s="94" t="n"/>
    </row>
    <row r="159">
      <c r="G159" s="89" t="inlineStr">
        <is>
          <t>瑞典/Sweden</t>
        </is>
      </c>
      <c r="H159" s="94" t="n"/>
    </row>
    <row r="160">
      <c r="G160" s="89" t="inlineStr">
        <is>
          <t>瑞士/Switzerland</t>
        </is>
      </c>
      <c r="H160" s="94" t="n"/>
    </row>
    <row r="161">
      <c r="G161" s="89" t="inlineStr">
        <is>
          <t>薩爾瓦多/El Salvador</t>
        </is>
      </c>
      <c r="H161" s="94" t="n"/>
    </row>
    <row r="162">
      <c r="G162" s="89" t="inlineStr">
        <is>
          <t>薩摩亞/Samoa</t>
        </is>
      </c>
      <c r="H162" s="94" t="n"/>
    </row>
    <row r="163">
      <c r="G163" s="89" t="inlineStr">
        <is>
          <t>塞爾維亞共和國/Serbia (Rep.)</t>
        </is>
      </c>
    </row>
    <row r="164">
      <c r="G164" s="89" t="inlineStr">
        <is>
          <t>塞內加爾/Senegal</t>
        </is>
      </c>
    </row>
    <row r="165">
      <c r="G165" s="89" t="inlineStr">
        <is>
          <t>賽普勒斯/Cyprus</t>
        </is>
      </c>
      <c r="H165" s="94" t="n"/>
    </row>
    <row r="166">
      <c r="G166" s="89" t="inlineStr">
        <is>
          <t>塞席爾/Seychelles</t>
        </is>
      </c>
      <c r="H166" s="94" t="n"/>
    </row>
    <row r="167">
      <c r="G167" s="89" t="inlineStr">
        <is>
          <t>沙烏地阿拉伯/Saudi Arabia</t>
        </is>
      </c>
      <c r="H167" s="94" t="n"/>
    </row>
    <row r="168">
      <c r="G168" s="95" t="inlineStr">
        <is>
          <t>尚比亞/Zambia</t>
        </is>
      </c>
      <c r="H168" s="94" t="n"/>
    </row>
    <row r="169">
      <c r="G169" s="89" t="inlineStr">
        <is>
          <t>聖巴泰勒米島/Saint Barthelemy</t>
        </is>
      </c>
      <c r="H169" s="94" t="n"/>
    </row>
    <row r="170">
      <c r="G170" s="89" t="inlineStr">
        <is>
          <t>聖誕島/Christmas Island</t>
        </is>
      </c>
      <c r="H170" s="94" t="n"/>
    </row>
    <row r="171">
      <c r="G171" s="89" t="inlineStr">
        <is>
          <t>聖多美及普林西比島/Sao Tome and Principe</t>
        </is>
      </c>
      <c r="H171" s="94" t="n"/>
    </row>
    <row r="172">
      <c r="G172" s="89" t="inlineStr">
        <is>
          <t>聖赫勒拿島/Saint helena</t>
        </is>
      </c>
      <c r="H172" s="94" t="n"/>
    </row>
    <row r="173">
      <c r="G173" s="89" t="inlineStr">
        <is>
          <t>聖基茨和尼維斯/St. Kitts and Nevis</t>
        </is>
      </c>
      <c r="H173" s="94" t="n"/>
    </row>
    <row r="174">
      <c r="G174" s="89" t="inlineStr">
        <is>
          <t>聖露西亞/Saint Lucia</t>
        </is>
      </c>
      <c r="H174" s="94" t="n"/>
    </row>
    <row r="175">
      <c r="G175" s="89" t="inlineStr">
        <is>
          <t>聖馬丁/Saint Martin (FR)</t>
        </is>
      </c>
      <c r="H175" s="94" t="n"/>
    </row>
    <row r="176">
      <c r="G176" s="89" t="inlineStr">
        <is>
          <t>聖馬丁島/St. Maarten</t>
        </is>
      </c>
      <c r="H176" s="94" t="n"/>
    </row>
    <row r="177">
      <c r="G177" s="89" t="inlineStr">
        <is>
          <t>聖馬利諾/San Marino</t>
        </is>
      </c>
      <c r="H177" s="94" t="n"/>
    </row>
    <row r="178">
      <c r="G178" s="89" t="inlineStr">
        <is>
          <t>聖皮爾和密克隆（法屬）/Saint pierre and miquelon (fr)</t>
        </is>
      </c>
      <c r="H178" s="94" t="n"/>
    </row>
    <row r="179">
      <c r="G179" s="89" t="inlineStr">
        <is>
          <t>聖文森特/St. Vincent &amp;amp; Grenadines</t>
        </is>
      </c>
      <c r="H179" s="94" t="n"/>
    </row>
    <row r="180">
      <c r="G180" s="95" t="inlineStr">
        <is>
          <t>獅子山/Sierra Leone</t>
        </is>
      </c>
      <c r="H180" s="94" t="n"/>
    </row>
    <row r="181">
      <c r="G181" s="95" t="inlineStr">
        <is>
          <t>史瓦濟蘭/Swaziland</t>
        </is>
      </c>
      <c r="H181" s="94" t="n"/>
    </row>
    <row r="182">
      <c r="G182" s="89" t="inlineStr">
        <is>
          <t>斯里蘭卡/Sri Lanka</t>
        </is>
      </c>
    </row>
    <row r="183">
      <c r="G183" s="89" t="inlineStr">
        <is>
          <t>斯洛伐克/Slovakia</t>
        </is>
      </c>
    </row>
    <row r="184">
      <c r="G184" s="89" t="inlineStr">
        <is>
          <t>斯洛維尼亞/Slovenia</t>
        </is>
      </c>
      <c r="I184" s="94" t="n"/>
    </row>
    <row r="185">
      <c r="G185" s="89" t="inlineStr">
        <is>
          <t>蘇丹/Sudan</t>
        </is>
      </c>
    </row>
    <row r="186">
      <c r="G186" s="89" t="inlineStr">
        <is>
          <t>蘇利南/Suriname</t>
        </is>
      </c>
      <c r="I186" s="94" t="n"/>
    </row>
    <row r="187">
      <c r="G187" s="89" t="inlineStr">
        <is>
          <t>所羅門群島/Solomon Islands</t>
        </is>
      </c>
      <c r="I187" s="94" t="n"/>
    </row>
    <row r="188">
      <c r="G188" s="89" t="inlineStr">
        <is>
          <t>索馬里/Somalia</t>
        </is>
      </c>
      <c r="I188" s="94" t="n"/>
    </row>
    <row r="189">
      <c r="G189" s="89" t="inlineStr">
        <is>
          <t>塔吉克斯坦/Tajikistan</t>
        </is>
      </c>
      <c r="I189" s="94" t="n"/>
    </row>
    <row r="190">
      <c r="G190" s="89" t="inlineStr">
        <is>
          <t>泰國/Thailand</t>
        </is>
      </c>
      <c r="I190" s="94" t="n"/>
    </row>
    <row r="191">
      <c r="G191" s="89" t="inlineStr">
        <is>
          <t>坦尚尼亞/Tanzania (United Rep.)</t>
        </is>
      </c>
      <c r="I191" s="94" t="n"/>
    </row>
    <row r="192">
      <c r="G192" s="89" t="inlineStr">
        <is>
          <t>特克斯和凱科斯群島（英屬）/Turks and Caicos Islands (gb)</t>
        </is>
      </c>
      <c r="I192" s="94" t="n"/>
    </row>
    <row r="193">
      <c r="G193" s="89" t="inlineStr">
        <is>
          <t>突尼斯/Tunisia</t>
        </is>
      </c>
    </row>
    <row r="194">
      <c r="G194" s="89" t="inlineStr">
        <is>
          <t>圖瓦盧/Tuvalu</t>
        </is>
      </c>
      <c r="I194" s="94" t="n"/>
    </row>
    <row r="195">
      <c r="G195" s="89" t="inlineStr">
        <is>
          <t>土耳其/Turkey</t>
        </is>
      </c>
      <c r="I195" s="94" t="n"/>
    </row>
    <row r="196">
      <c r="G196" s="89" t="inlineStr">
        <is>
          <t>土庫曼斯坦/Turkmenistan</t>
        </is>
      </c>
      <c r="I196" s="94" t="n"/>
    </row>
    <row r="197">
      <c r="G197" s="89" t="inlineStr">
        <is>
          <t>托克勞群島/Tokelau (NZ)</t>
        </is>
      </c>
      <c r="I197" s="94" t="n"/>
    </row>
    <row r="198">
      <c r="G198" s="89" t="inlineStr">
        <is>
          <t>瓦利斯群島和富圖納群島/Wallis and futuna</t>
        </is>
      </c>
      <c r="I198" s="94" t="n"/>
    </row>
    <row r="199">
      <c r="G199" s="89" t="inlineStr">
        <is>
          <t>瓦努阿圖/Vanuatu</t>
        </is>
      </c>
      <c r="I199" s="94" t="n"/>
    </row>
    <row r="200">
      <c r="G200" s="89" t="inlineStr">
        <is>
          <t>危地馬拉/Guatemala</t>
        </is>
      </c>
      <c r="I200" s="94" t="n"/>
    </row>
    <row r="201">
      <c r="G201" s="95" t="inlineStr">
        <is>
          <t>維德角/Cape verde</t>
        </is>
      </c>
      <c r="I201" s="94" t="n"/>
    </row>
    <row r="202">
      <c r="G202" s="89" t="inlineStr">
        <is>
          <t>維爾京群島（美屬）/Virgin Islands, U.S.</t>
        </is>
      </c>
      <c r="I202" s="94" t="n"/>
    </row>
    <row r="203">
      <c r="G203" s="89" t="inlineStr">
        <is>
          <t>維爾京群島（英屬）/Virgin islands, (GB)</t>
        </is>
      </c>
      <c r="I203" s="94" t="n"/>
    </row>
    <row r="204">
      <c r="G204" s="89" t="inlineStr">
        <is>
          <t>委內瑞拉/Venezuela</t>
        </is>
      </c>
      <c r="I204" s="94" t="n"/>
    </row>
    <row r="205">
      <c r="G205" s="89" t="inlineStr">
        <is>
          <t>汶萊/Brunei</t>
        </is>
      </c>
      <c r="I205" s="94" t="n"/>
    </row>
    <row r="206">
      <c r="G206" s="89" t="inlineStr">
        <is>
          <t>烏干達/Uganda</t>
        </is>
      </c>
      <c r="I206" s="94" t="n"/>
    </row>
    <row r="207">
      <c r="G207" s="89" t="inlineStr">
        <is>
          <t>烏克蘭/Ukraine</t>
        </is>
      </c>
      <c r="I207" s="94" t="n"/>
    </row>
    <row r="208">
      <c r="G208" s="89" t="inlineStr">
        <is>
          <t>烏拉圭/Uruguay</t>
        </is>
      </c>
      <c r="I208" s="94" t="n"/>
    </row>
    <row r="209">
      <c r="G209" s="89" t="inlineStr">
        <is>
          <t>烏茲別克斯坦/Uzbekistan</t>
        </is>
      </c>
      <c r="I209" s="94" t="n"/>
    </row>
    <row r="210">
      <c r="G210" s="89" t="inlineStr">
        <is>
          <t>西班牙/Spain</t>
        </is>
      </c>
      <c r="I210" s="94" t="n"/>
    </row>
    <row r="211">
      <c r="G211" s="89" t="inlineStr">
        <is>
          <t>希臘/Greece</t>
        </is>
      </c>
      <c r="I211" s="94" t="n"/>
    </row>
    <row r="212">
      <c r="G212" s="89" t="inlineStr">
        <is>
          <t>西撒哈拉/Western Sahara</t>
        </is>
      </c>
      <c r="I212" s="94" t="n"/>
    </row>
    <row r="213">
      <c r="G213" s="89" t="inlineStr">
        <is>
          <t>夏威夷/Hawaii</t>
        </is>
      </c>
      <c r="I213" s="94" t="n"/>
    </row>
    <row r="214">
      <c r="G214" s="95" t="inlineStr">
        <is>
          <t>象牙海岸（共和國）/Cote d'Ivoire (Rep.)</t>
        </is>
      </c>
      <c r="I214" s="94" t="n"/>
    </row>
    <row r="215">
      <c r="G215" s="95" t="inlineStr">
        <is>
          <t>葉門/Yemen</t>
        </is>
      </c>
      <c r="I215" s="94" t="n"/>
    </row>
    <row r="216">
      <c r="G216" s="95" t="inlineStr">
        <is>
          <t>辛巴威/Zimbabwe</t>
        </is>
      </c>
      <c r="I216" s="94" t="n"/>
    </row>
    <row r="217">
      <c r="G217" s="89" t="inlineStr">
        <is>
          <t>新赫里多尼亞（法屬）/New Caledonia (fr)</t>
        </is>
      </c>
      <c r="I217" s="94" t="n"/>
    </row>
    <row r="218">
      <c r="G218" s="89" t="inlineStr">
        <is>
          <t>新加坡/Singapore</t>
        </is>
      </c>
    </row>
    <row r="219">
      <c r="G219" s="89" t="inlineStr">
        <is>
          <t>匈牙利/Hungary</t>
        </is>
      </c>
      <c r="I219" s="94" t="n"/>
    </row>
    <row r="220">
      <c r="G220" s="89" t="inlineStr">
        <is>
          <t>敘利亞/Syrian Arab Rep.</t>
        </is>
      </c>
      <c r="I220" s="94" t="n"/>
    </row>
    <row r="221">
      <c r="G221" s="89" t="inlineStr">
        <is>
          <t>牙買加/Jamaica</t>
        </is>
      </c>
      <c r="I221" s="94" t="n"/>
    </row>
    <row r="222">
      <c r="G222" s="89" t="inlineStr">
        <is>
          <t>亞美尼亞/Armenia</t>
        </is>
      </c>
      <c r="I222" s="94" t="n"/>
    </row>
    <row r="223">
      <c r="G223" s="95" t="inlineStr">
        <is>
          <t>亞塞拜然/Azerbaijan</t>
        </is>
      </c>
      <c r="I223" s="94" t="n"/>
    </row>
    <row r="224">
      <c r="G224" s="89" t="inlineStr">
        <is>
          <t>伊拉克/Iraq</t>
        </is>
      </c>
      <c r="I224" s="94" t="n"/>
    </row>
    <row r="225">
      <c r="G225" s="89" t="inlineStr">
        <is>
          <t>伊朗/Iran (Islamic Rep.)</t>
        </is>
      </c>
      <c r="I225" s="94" t="n"/>
    </row>
    <row r="226">
      <c r="G226" s="95" t="inlineStr">
        <is>
          <t>衣索比亞/Ethiopia</t>
        </is>
      </c>
      <c r="I226" s="94" t="n"/>
    </row>
    <row r="227">
      <c r="G227" s="89" t="inlineStr">
        <is>
          <t>以色列/Israel</t>
        </is>
      </c>
      <c r="I227" s="94" t="n"/>
    </row>
    <row r="228">
      <c r="G228" s="89" t="inlineStr">
        <is>
          <t>意大利/Italy</t>
        </is>
      </c>
      <c r="I228" s="94" t="n"/>
    </row>
    <row r="229">
      <c r="G229" s="89" t="inlineStr">
        <is>
          <t>印度/India</t>
        </is>
      </c>
      <c r="I229" s="94" t="n"/>
    </row>
    <row r="230">
      <c r="G230" s="89" t="inlineStr">
        <is>
          <t>印尼/Indonesia</t>
        </is>
      </c>
      <c r="I230" s="94" t="n"/>
    </row>
    <row r="231">
      <c r="G231" s="89" t="inlineStr">
        <is>
          <t>英國/Great Britain</t>
        </is>
      </c>
      <c r="I231" s="94" t="n"/>
    </row>
    <row r="232">
      <c r="G232" s="89" t="inlineStr">
        <is>
          <t>英屬印度洋領地/British Indian Ocean Territory</t>
        </is>
      </c>
      <c r="I232" s="94" t="n"/>
    </row>
    <row r="233">
      <c r="G233" s="89" t="inlineStr">
        <is>
          <t>約旦/Jordan</t>
        </is>
      </c>
      <c r="I233" s="94" t="n"/>
    </row>
    <row r="234">
      <c r="G234" s="89" t="inlineStr">
        <is>
          <t>越南/Vietnam</t>
        </is>
      </c>
    </row>
    <row r="235">
      <c r="G235" s="89" t="inlineStr">
        <is>
          <t>澤西島/Jersey</t>
        </is>
      </c>
      <c r="I235" s="94" t="n"/>
    </row>
    <row r="236">
      <c r="G236" s="89" t="inlineStr">
        <is>
          <t>直布羅陀/Gibraltar</t>
        </is>
      </c>
      <c r="I236" s="94" t="n"/>
    </row>
    <row r="237">
      <c r="G237" s="89" t="inlineStr">
        <is>
          <t>智利/Chile</t>
        </is>
      </c>
      <c r="I237" s="94" t="n"/>
    </row>
    <row r="238">
      <c r="G238" s="89" t="inlineStr">
        <is>
          <t>中非共和國/Central African Republic</t>
        </is>
      </c>
      <c r="I238" s="94" t="n"/>
    </row>
    <row r="239">
      <c r="G239" s="89" t="inlineStr">
        <is>
          <t>中國內地/China</t>
        </is>
      </c>
      <c r="I239" s="94" t="n"/>
    </row>
    <row r="240">
      <c r="G240" s="89" t="inlineStr">
        <is>
          <t>中國香港/Hong Kong China</t>
        </is>
      </c>
      <c r="I240" s="94" t="n"/>
    </row>
    <row r="241">
      <c r="G241" s="89" t="inlineStr">
        <is>
          <t>中國澳門/Macao China</t>
        </is>
      </c>
      <c r="I241" s="94" t="n"/>
    </row>
    <row r="242">
      <c r="G242" s="89" t="inlineStr">
        <is>
          <t>中國台灣/Taiwan China</t>
        </is>
      </c>
      <c r="I242" s="94" t="n"/>
    </row>
    <row r="243">
      <c r="I243" s="94" t="n"/>
    </row>
  </sheetData>
  <sheetProtection selectLockedCells="0" selectUnlockedCells="0" sheet="1" objects="1" insertRows="1" insertHyperlinks="1" autoFilter="1" scenarios="0" formatColumns="1" deleteColumns="1" insertColumns="1" pivotTables="1" deleteRows="1" formatCells="1" formatRows="1" sort="1"/>
  <hyperlinks>
    <hyperlink xmlns:r="http://schemas.openxmlformats.org/officeDocument/2006/relationships" ref="N2" display="繁體點擊此查看" r:id="rId1"/>
    <hyperlink xmlns:r="http://schemas.openxmlformats.org/officeDocument/2006/relationships" ref="N3" display="Click here for English" r:id="rId2"/>
    <hyperlink xmlns:r="http://schemas.openxmlformats.org/officeDocument/2006/relationships" ref="N4" display="简体点击此查看" r:id="rId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A100"/>
  <sheetViews>
    <sheetView workbookViewId="0">
      <pane xSplit="1" ySplit="2" topLeftCell="B3" activePane="bottomRight" state="frozen"/>
      <selection activeCell="A1" sqref="A1"/>
      <selection pane="topRight" activeCell="A1" sqref="A1"/>
      <selection pane="bottomLeft" activeCell="A1" sqref="A1"/>
      <selection pane="bottomRight" activeCell="A8" sqref="A8"/>
    </sheetView>
  </sheetViews>
  <sheetFormatPr baseColWidth="8" defaultColWidth="9" defaultRowHeight="16.5"/>
  <cols>
    <col width="20.625" customWidth="1" style="91" min="1" max="2"/>
    <col width="15.625" customWidth="1" style="93" min="3" max="3"/>
    <col width="20.625" customWidth="1" style="11" min="4" max="5"/>
    <col width="35.625" customWidth="1" style="91" min="6" max="6"/>
    <col width="20.625" customWidth="1" style="91" min="7" max="9"/>
    <col width="40.625" customWidth="1" style="91" min="10" max="10"/>
    <col width="20.625" customWidth="1" style="91" min="11" max="11"/>
    <col width="15.625" customWidth="1" style="93" min="12" max="12"/>
    <col width="20.625" customWidth="1" style="11" min="13" max="14"/>
    <col width="35.625" customWidth="1" style="91" min="15" max="15"/>
    <col width="18.625" customWidth="1" style="91" min="16" max="16"/>
    <col width="20.625" customWidth="1" style="89" min="17" max="17"/>
    <col width="25.625" customWidth="1" style="91" min="18" max="18"/>
    <col width="20.625" customWidth="1" style="91" min="19" max="19"/>
    <col width="40.625" customWidth="1" style="91" min="20" max="20"/>
    <col width="30.625" customWidth="1" style="89" min="21" max="21"/>
    <col width="20.625" customWidth="1" style="93" min="22" max="22"/>
    <col width="25.625" customWidth="1" style="89" min="23" max="23"/>
    <col width="15.625" customWidth="1" style="93" min="24" max="25"/>
    <col width="15.625" customWidth="1" style="89" min="26" max="26"/>
    <col width="15.625" customWidth="1" style="93" min="27" max="27"/>
    <col width="15.625" customWidth="1" style="89" min="28" max="28"/>
    <col width="25.625" customWidth="1" style="89" min="29" max="29"/>
    <col width="24.625" customWidth="1" style="93" min="30" max="30"/>
    <col width="35.625" customWidth="1" style="93" min="31" max="31"/>
    <col width="40.625" customWidth="1" style="91" min="32" max="32"/>
    <col width="40.625" customWidth="1" style="89" min="33" max="33"/>
    <col width="30.625" customWidth="1" style="89" min="34" max="35"/>
    <col width="35.625" customWidth="1" style="93" min="36" max="36"/>
    <col width="24.625" customWidth="1" style="136" min="37" max="37"/>
    <col width="24.625" customWidth="1" style="139" min="38" max="38"/>
    <col width="40.625" customWidth="1" style="89" min="39" max="39"/>
    <col width="24.625" customWidth="1" style="93" min="40" max="40"/>
    <col width="20.625" customWidth="1" style="89" min="41" max="41"/>
    <col width="25.625" customWidth="1" style="89" min="42" max="42"/>
    <col width="20.625" customWidth="1" style="89" min="43" max="43"/>
    <col width="20.625" customWidth="1" style="93" min="44" max="44"/>
    <col width="24.625" customWidth="1" style="93" min="45" max="45"/>
    <col width="50.625" customWidth="1" style="89" min="46" max="46"/>
    <col width="20.625" customWidth="1" style="93" min="47" max="47"/>
    <col width="20.625" customWidth="1" style="15" min="48" max="48"/>
    <col width="40.625" customWidth="1" style="15" min="49" max="49"/>
    <col width="30.625" customWidth="1" style="15" min="50" max="50"/>
    <col width="30.625" customWidth="1" style="16" min="51" max="51"/>
    <col width="24.625" customWidth="1" style="16" min="52" max="52"/>
    <col width="18.625" customWidth="1" style="15" min="53" max="53"/>
    <col width="9" customWidth="1" style="89" min="54" max="16384"/>
  </cols>
  <sheetData>
    <row r="1" ht="36" customFormat="1" customHeight="1" s="8">
      <c r="A1" s="17" t="n"/>
      <c r="B1" s="126" t="inlineStr">
        <is>
          <t>寄件方信息
Sender Information</t>
        </is>
      </c>
      <c r="C1" s="127" t="n"/>
      <c r="D1" s="127" t="n"/>
      <c r="E1" s="127" t="n"/>
      <c r="F1" s="127" t="n"/>
      <c r="G1" s="127" t="n"/>
      <c r="H1" s="127" t="n"/>
      <c r="I1" s="127" t="n"/>
      <c r="J1" s="128" t="n"/>
      <c r="K1" s="129" t="inlineStr">
        <is>
          <t>收件方信息
Receiver Information</t>
        </is>
      </c>
      <c r="L1" s="127" t="n"/>
      <c r="M1" s="127" t="n"/>
      <c r="N1" s="127" t="n"/>
      <c r="O1" s="127" t="n"/>
      <c r="P1" s="127" t="n"/>
      <c r="Q1" s="127" t="n"/>
      <c r="R1" s="127" t="n"/>
      <c r="S1" s="127" t="n"/>
      <c r="T1" s="127" t="n"/>
      <c r="U1" s="127" t="n"/>
      <c r="V1" s="128" t="n"/>
      <c r="W1" s="130" t="inlineStr">
        <is>
          <t>托寄物信息
Consignment Information</t>
        </is>
      </c>
      <c r="X1" s="127" t="n"/>
      <c r="Y1" s="127" t="n"/>
      <c r="Z1" s="127" t="n"/>
      <c r="AA1" s="127" t="n"/>
      <c r="AB1" s="127" t="n"/>
      <c r="AC1" s="128" t="n"/>
      <c r="AD1" s="45" t="inlineStr">
        <is>
          <t>包裹信息
Parcel Information</t>
        </is>
      </c>
      <c r="AE1" s="127" t="n"/>
      <c r="AF1" s="127" t="n"/>
      <c r="AG1" s="61" t="inlineStr">
        <is>
          <t>產品信息
Product Information</t>
        </is>
      </c>
      <c r="AH1" s="61" t="inlineStr">
        <is>
          <t>付款方式
Payment Method</t>
        </is>
      </c>
      <c r="AI1" s="127" t="n"/>
      <c r="AJ1" s="128" t="n"/>
      <c r="AK1" s="131" t="inlineStr">
        <is>
          <t>預約上門收件
Expected Parcel Pick-up</t>
        </is>
      </c>
      <c r="AL1" s="128" t="n"/>
      <c r="AM1" s="67" t="n"/>
      <c r="AN1" s="132" t="inlineStr">
        <is>
          <t>增值服務
V.A.S.</t>
        </is>
      </c>
      <c r="AO1" s="127" t="n"/>
      <c r="AP1" s="127" t="n"/>
      <c r="AQ1" s="127" t="n"/>
      <c r="AR1" s="127" t="n"/>
      <c r="AS1" s="127" t="n"/>
      <c r="AT1" s="127" t="n"/>
      <c r="AU1" s="127" t="n"/>
      <c r="AV1" s="127" t="n"/>
      <c r="AW1" s="127" t="n"/>
      <c r="AX1" s="127" t="n"/>
      <c r="AY1" s="127" t="n"/>
      <c r="AZ1" s="128" t="n"/>
      <c r="BA1" s="82" t="n"/>
    </row>
    <row r="2" ht="53" customFormat="1" customHeight="1" s="89">
      <c r="A2" s="22" t="inlineStr">
        <is>
          <t>客戶訂單編號
Customer Order I.D.</t>
        </is>
      </c>
      <c r="B2" s="23" t="inlineStr">
        <is>
          <t>* 姓名
Full Name</t>
        </is>
      </c>
      <c r="C2" s="24" t="inlineStr">
        <is>
          <t>* 電話區號
Area Code</t>
        </is>
      </c>
      <c r="D2" s="25" t="inlineStr">
        <is>
          <t>手機號碼
Mobile No.</t>
        </is>
      </c>
      <c r="E2" s="25" t="inlineStr">
        <is>
          <t>固網號碼
Fixed No.</t>
        </is>
      </c>
      <c r="F2" s="26" t="inlineStr">
        <is>
          <t>公司名稱
Company</t>
        </is>
      </c>
      <c r="G2" s="27" t="inlineStr">
        <is>
          <t>* 城市
City</t>
        </is>
      </c>
      <c r="H2" s="27" t="inlineStr">
        <is>
          <t>* 地區
District</t>
        </is>
      </c>
      <c r="I2" s="27" t="inlineStr">
        <is>
          <t>* 區域
Area</t>
        </is>
      </c>
      <c r="J2" s="36" t="inlineStr">
        <is>
          <t>* 詳細地址
Detail Address</t>
        </is>
      </c>
      <c r="K2" s="37" t="inlineStr">
        <is>
          <t>* 姓名
Full Name</t>
        </is>
      </c>
      <c r="L2" s="38" t="inlineStr">
        <is>
          <t>* 電話區號
Area Code</t>
        </is>
      </c>
      <c r="M2" s="39" t="inlineStr">
        <is>
          <t>手機號碼
Mobile No.</t>
        </is>
      </c>
      <c r="N2" s="39" t="inlineStr">
        <is>
          <t>固網號碼
Fixed No.</t>
        </is>
      </c>
      <c r="O2" s="41" t="inlineStr">
        <is>
          <t>公司名稱
Company</t>
        </is>
      </c>
      <c r="P2" s="41" t="inlineStr">
        <is>
          <t>自取點編號
Self Pick-up Point</t>
        </is>
      </c>
      <c r="Q2" s="41" t="inlineStr">
        <is>
          <t>省份 / 城市
Province / City</t>
        </is>
      </c>
      <c r="R2" s="41" t="inlineStr">
        <is>
          <t>市 / 縣 / 地區
City / County / District</t>
        </is>
      </c>
      <c r="S2" s="41" t="inlineStr">
        <is>
          <t>區 / 區域
District / Area</t>
        </is>
      </c>
      <c r="T2" s="41" t="inlineStr">
        <is>
          <t>詳細地址
Detail Address</t>
        </is>
      </c>
      <c r="U2" s="41" t="inlineStr">
        <is>
          <t>證件類型
I.D. Type</t>
        </is>
      </c>
      <c r="V2" s="47" t="inlineStr">
        <is>
          <t>證件號碼
I.D. No.</t>
        </is>
      </c>
      <c r="W2" s="48" t="inlineStr">
        <is>
          <t>* 物品名稱 / 類型
Item Name</t>
        </is>
      </c>
      <c r="X2" s="49" t="inlineStr">
        <is>
          <t>* 重量（KG）
Weight (KG)</t>
        </is>
      </c>
      <c r="Y2" s="56" t="inlineStr">
        <is>
          <t>數量
Quantity</t>
        </is>
      </c>
      <c r="Z2" s="57" t="inlineStr">
        <is>
          <t>單位
Unit</t>
        </is>
      </c>
      <c r="AA2" s="56" t="inlineStr">
        <is>
          <t>物品單價
Value</t>
        </is>
      </c>
      <c r="AB2" s="57" t="inlineStr">
        <is>
          <t>幣種
Currency</t>
        </is>
      </c>
      <c r="AC2" s="58" t="inlineStr">
        <is>
          <t>原產地
Origin</t>
        </is>
      </c>
      <c r="AD2" s="59" t="inlineStr">
        <is>
          <t>* 包裹總重量（KG）
Total Weight (KG)</t>
        </is>
      </c>
      <c r="AE2" s="49" t="inlineStr">
        <is>
          <t>* 包裹數量（子母件數量）
Parcel Quantity (num. of multi-piece shipments)</t>
        </is>
      </c>
      <c r="AF2" s="60" t="inlineStr">
        <is>
          <t>包裹備註
Parcel Notes</t>
        </is>
      </c>
      <c r="AG2" s="69" t="inlineStr">
        <is>
          <t>* 產品類型
Product Type</t>
        </is>
      </c>
      <c r="AH2" s="70" t="inlineStr">
        <is>
          <t>* 付款方式
Payment Method</t>
        </is>
      </c>
      <c r="AI2" s="71" t="inlineStr">
        <is>
          <t>稅金付款方式
Duties and Taxes</t>
        </is>
      </c>
      <c r="AJ2" s="72" t="inlineStr">
        <is>
          <t>稅金付款帳號
Bill Account for Duties and Taxes</t>
        </is>
      </c>
      <c r="AK2" s="133" t="inlineStr">
        <is>
          <t>日期（年-月-日）
Date (YYYY-MM-DD)</t>
        </is>
      </c>
      <c r="AL2" s="134" t="inlineStr">
        <is>
          <t>時間（時:分）
Time (HH:MM)</t>
        </is>
      </c>
      <c r="AM2" s="75" t="inlineStr">
        <is>
          <t>備註
Remark</t>
        </is>
      </c>
      <c r="AN2" s="76" t="inlineStr">
        <is>
          <t>保價-物品價值（HKD）
Insurance（HKD）</t>
        </is>
      </c>
      <c r="AO2" s="78" t="inlineStr">
        <is>
          <t>PoD 簽單返還
PoD</t>
        </is>
      </c>
      <c r="AP2" s="78" t="inlineStr">
        <is>
          <t>PoD 備註
PoD - Remark</t>
        </is>
      </c>
      <c r="AQ2" s="78" t="inlineStr">
        <is>
          <t>密碼認證
Secret Key</t>
        </is>
      </c>
      <c r="AR2" s="79" t="inlineStr">
        <is>
          <t>CoD 代收貨款
CoD - Amount</t>
        </is>
      </c>
      <c r="AS2" s="79" t="inlineStr">
        <is>
          <t>CoD 代收貨款 - 月結號
CoD - Credit A/C No.</t>
        </is>
      </c>
      <c r="AT2" s="80" t="inlineStr">
        <is>
          <t>送貨方式
Delivery method</t>
        </is>
      </c>
      <c r="AU2" s="79" t="inlineStr">
        <is>
          <t>送貨上樓 - 行樓梯層數
Upstairs Delivery - Floor level</t>
        </is>
      </c>
      <c r="AV2" s="80" t="inlineStr">
        <is>
          <t>心意送 - 賀卡
Surprise Delivery - Greeting e-cards</t>
        </is>
      </c>
      <c r="AW2" s="80" t="inlineStr">
        <is>
          <t>心意送 - 賀卡祝福語
Surprise Delivery - Greeting message</t>
        </is>
      </c>
      <c r="AX2" s="80" t="inlineStr">
        <is>
          <t>心意送 - 賀卡署名
Surprise Delivery - Signature</t>
        </is>
      </c>
      <c r="AY2" s="79" t="inlineStr">
        <is>
          <t>定時派送 - 日期（年-月-日）
Fixed Time Delivery - Date (YYYY-MM-DD)</t>
        </is>
      </c>
      <c r="AZ2" s="83" t="inlineStr">
        <is>
          <t>定時派送 - 時間（時:分）
Fixed Time Delivery - Time (HH:MM)</t>
        </is>
      </c>
      <c r="BA2" s="84" t="inlineStr">
        <is>
          <t>收件校驗碼
Recipient Verification Code</t>
        </is>
      </c>
    </row>
    <row r="3" customFormat="1" s="89">
      <c r="A3" s="91" t="inlineStr">
        <is>
          <t>A</t>
        </is>
      </c>
      <c r="B3" s="91" t="inlineStr">
        <is>
          <t>Mary Lam</t>
        </is>
      </c>
      <c r="C3" s="93" t="n">
        <v>852</v>
      </c>
      <c r="D3" s="93" t="n">
        <v>88880000</v>
      </c>
      <c r="E3" s="93" t="n">
        <v>29292929</v>
      </c>
      <c r="F3" s="91" t="inlineStr">
        <is>
          <t>SF Express A</t>
        </is>
      </c>
      <c r="G3" s="91" t="inlineStr">
        <is>
          <t>香港/Hong Kong</t>
        </is>
      </c>
      <c r="H3" s="91" t="inlineStr">
        <is>
          <t>葵青區</t>
        </is>
      </c>
      <c r="I3" s="91" t="inlineStr">
        <is>
          <t>青衣</t>
        </is>
      </c>
      <c r="J3" s="91" t="inlineStr">
        <is>
          <t>航運路36號亞洲物流中心9樓</t>
        </is>
      </c>
      <c r="K3" s="91" t="inlineStr">
        <is>
          <t>林順豐</t>
        </is>
      </c>
      <c r="L3" s="93" t="n">
        <v>852</v>
      </c>
      <c r="M3" s="93" t="n">
        <v>88880000</v>
      </c>
      <c r="N3" s="93" t="n">
        <v>27300273</v>
      </c>
      <c r="O3" s="91" t="inlineStr">
        <is>
          <t>SF Express B</t>
        </is>
      </c>
      <c r="P3" s="140" t="n"/>
      <c r="Q3" s="50" t="inlineStr">
        <is>
          <t>香港</t>
        </is>
      </c>
      <c r="R3" s="91" t="inlineStr">
        <is>
          <t>大埔區</t>
        </is>
      </c>
      <c r="S3" s="91" t="inlineStr">
        <is>
          <t>大埔</t>
        </is>
      </c>
      <c r="T3" s="91" t="inlineStr">
        <is>
          <t>平安里10號華安樓5樓C座</t>
        </is>
      </c>
      <c r="V3" s="93" t="n"/>
      <c r="W3" s="89" t="inlineStr">
        <is>
          <t>公仔衫</t>
        </is>
      </c>
      <c r="X3" s="93" t="n">
        <v>1.11</v>
      </c>
      <c r="Y3" s="93" t="n"/>
      <c r="AA3" s="93" t="n"/>
      <c r="AD3" s="93" t="n">
        <v>1.11</v>
      </c>
      <c r="AE3" s="93" t="n">
        <v>1</v>
      </c>
      <c r="AF3" s="91" t="n"/>
      <c r="AG3" s="89" t="inlineStr">
        <is>
          <t>順豐特快/SF Speedy Express</t>
        </is>
      </c>
      <c r="AH3" s="89" t="inlineStr">
        <is>
          <t>寄付現結/Pay by Sender</t>
        </is>
      </c>
      <c r="AJ3" s="93" t="n"/>
      <c r="AK3" s="136" t="n">
        <v>46032</v>
      </c>
      <c r="AL3" s="139" t="n">
        <v>0.5833333333333334</v>
      </c>
      <c r="AN3" s="93" t="n">
        <v>10</v>
      </c>
      <c r="AO3" s="89" t="inlineStr">
        <is>
          <t>1,4</t>
        </is>
      </c>
      <c r="AP3" s="89" t="inlineStr">
        <is>
          <t>請用新公司印</t>
        </is>
      </c>
      <c r="AQ3" s="89" t="inlineStr">
        <is>
          <t>需要/Need</t>
        </is>
      </c>
      <c r="AR3" s="93" t="n">
        <v>100</v>
      </c>
      <c r="AS3" s="93" t="n">
        <v>8520000888</v>
      </c>
      <c r="AU3" s="93" t="n"/>
      <c r="AV3" s="15" t="inlineStr">
        <is>
          <t>HK001</t>
        </is>
      </c>
      <c r="AW3" s="15" t="inlineStr">
        <is>
          <t>1_希望你喜歡這份禮物！</t>
        </is>
      </c>
      <c r="AX3" s="15" t="inlineStr">
        <is>
          <t>笑臉樣式/Smiley face style_3</t>
        </is>
      </c>
      <c r="AY3" s="141" t="n">
        <v>46068</v>
      </c>
      <c r="AZ3" s="86" t="n">
        <v>0.4166666666666667</v>
      </c>
      <c r="BA3" s="15" t="n"/>
    </row>
    <row r="4" customFormat="1" s="89">
      <c r="A4" s="91" t="inlineStr">
        <is>
          <t>B</t>
        </is>
      </c>
      <c r="B4" s="91" t="inlineStr">
        <is>
          <t>Mary Lam</t>
        </is>
      </c>
      <c r="C4" s="93" t="n">
        <v>852</v>
      </c>
      <c r="D4" s="93" t="n">
        <v>88880000</v>
      </c>
      <c r="E4" s="93" t="n">
        <v>29292929</v>
      </c>
      <c r="F4" s="91" t="inlineStr">
        <is>
          <t>SF Express A</t>
        </is>
      </c>
      <c r="G4" s="91" t="inlineStr">
        <is>
          <t>香港/Hong Kong</t>
        </is>
      </c>
      <c r="H4" s="91" t="inlineStr">
        <is>
          <t>葵青區</t>
        </is>
      </c>
      <c r="I4" s="91" t="inlineStr">
        <is>
          <t>青衣</t>
        </is>
      </c>
      <c r="J4" s="91" t="inlineStr">
        <is>
          <t>航運路36號亞洲物流中心9樓</t>
        </is>
      </c>
      <c r="K4" s="91" t="inlineStr">
        <is>
          <t>林順豐</t>
        </is>
      </c>
      <c r="L4" s="93" t="n">
        <v>853</v>
      </c>
      <c r="M4" s="93" t="n">
        <v>68888000</v>
      </c>
      <c r="N4" s="93" t="n">
        <v>28000888</v>
      </c>
      <c r="O4" s="91" t="inlineStr">
        <is>
          <t>SF Express B</t>
        </is>
      </c>
      <c r="P4" s="140" t="inlineStr">
        <is>
          <t>853A1003</t>
        </is>
      </c>
      <c r="Q4" s="51" t="n"/>
      <c r="R4" s="91" t="n"/>
      <c r="S4" s="91" t="n"/>
      <c r="T4" s="91" t="n"/>
      <c r="V4" s="93" t="n"/>
      <c r="W4" s="89" t="inlineStr">
        <is>
          <t>公仔衫</t>
        </is>
      </c>
      <c r="X4" s="93" t="n">
        <v>1.11</v>
      </c>
      <c r="Y4" s="93" t="n">
        <v>1</v>
      </c>
      <c r="Z4" s="89" t="inlineStr">
        <is>
          <t>件/piece</t>
        </is>
      </c>
      <c r="AA4" s="93" t="n">
        <v>100</v>
      </c>
      <c r="AB4" s="89" t="inlineStr">
        <is>
          <t>港元/HKD</t>
        </is>
      </c>
      <c r="AC4" s="89" t="inlineStr">
        <is>
          <t>中國香港/Hong Kong China</t>
        </is>
      </c>
      <c r="AD4" s="93" t="n">
        <v>2.22</v>
      </c>
      <c r="AE4" s="93" t="n">
        <v>2</v>
      </c>
      <c r="AF4" s="91" t="inlineStr">
        <is>
          <t>主單備註：睡衣款公仔衫+次單1備註：安睡毛公仔</t>
        </is>
      </c>
      <c r="AG4" s="89" t="inlineStr">
        <is>
          <t>順豐特快/SF Speedy Express</t>
        </is>
      </c>
      <c r="AH4" s="89" t="inlineStr">
        <is>
          <t>寄付月結/Pay by Sender (Credit Account)</t>
        </is>
      </c>
      <c r="AI4" s="89" t="inlineStr">
        <is>
          <t>到付/Pay by Recipient</t>
        </is>
      </c>
      <c r="AJ4" s="93" t="n"/>
      <c r="AK4" s="136" t="n"/>
      <c r="AL4" s="139" t="n"/>
      <c r="AN4" s="93" t="n"/>
      <c r="AR4" s="93" t="n"/>
      <c r="AS4" s="93" t="n"/>
      <c r="AU4" s="93" t="n"/>
      <c r="AV4" s="15" t="inlineStr">
        <is>
          <t>HK001</t>
        </is>
      </c>
      <c r="AW4" s="15" t="inlineStr">
        <is>
          <t>2_親愛的，愛你哦~</t>
        </is>
      </c>
      <c r="AX4" s="15" t="inlineStr">
        <is>
          <t>心形樣式/Heart-shaped style_2</t>
        </is>
      </c>
      <c r="AY4" s="87" t="n"/>
      <c r="AZ4" s="86" t="n"/>
      <c r="BA4" s="15" t="n"/>
    </row>
    <row r="5" customFormat="1" s="89">
      <c r="A5" s="91" t="inlineStr">
        <is>
          <t>B</t>
        </is>
      </c>
      <c r="B5" s="91" t="n"/>
      <c r="C5" s="93" t="n"/>
      <c r="D5" s="11" t="n"/>
      <c r="E5" s="11" t="n"/>
      <c r="F5" s="91" t="n"/>
      <c r="G5" s="91" t="n"/>
      <c r="H5" s="91" t="n"/>
      <c r="I5" s="91" t="n"/>
      <c r="J5" s="91" t="n"/>
      <c r="K5" s="91" t="n"/>
      <c r="L5" s="93" t="n"/>
      <c r="M5" s="11" t="n"/>
      <c r="N5" s="11" t="n"/>
      <c r="O5" s="91" t="n"/>
      <c r="P5" s="140" t="n"/>
      <c r="R5" s="91" t="n"/>
      <c r="S5" s="91" t="n"/>
      <c r="T5" s="91" t="n"/>
      <c r="V5" s="93" t="n"/>
      <c r="W5" s="89" t="inlineStr">
        <is>
          <t>毛公仔</t>
        </is>
      </c>
      <c r="X5" s="93" t="n">
        <v>1.11</v>
      </c>
      <c r="Y5" s="93" t="n">
        <v>1</v>
      </c>
      <c r="Z5" s="89" t="inlineStr">
        <is>
          <t>個</t>
        </is>
      </c>
      <c r="AA5" s="93" t="n">
        <v>100</v>
      </c>
      <c r="AB5" s="89" t="inlineStr">
        <is>
          <t>港元/HKD</t>
        </is>
      </c>
      <c r="AC5" s="89" t="inlineStr">
        <is>
          <t>中國香港/Hong Kong China</t>
        </is>
      </c>
      <c r="AD5" s="93" t="n"/>
      <c r="AE5" s="93" t="n"/>
      <c r="AF5" s="91" t="n"/>
      <c r="AJ5" s="93" t="n"/>
      <c r="AK5" s="136" t="n"/>
      <c r="AL5" s="139" t="n"/>
      <c r="AN5" s="93" t="n"/>
      <c r="AR5" s="93" t="n"/>
      <c r="AS5" s="93" t="n"/>
      <c r="AU5" s="93" t="n"/>
      <c r="AV5" s="15" t="n"/>
      <c r="AW5" s="15" t="n"/>
      <c r="AX5" s="15" t="n"/>
      <c r="AY5" s="16" t="n"/>
      <c r="AZ5" s="16" t="n"/>
      <c r="BA5" s="15" t="n"/>
    </row>
    <row r="6" customFormat="1" s="89">
      <c r="A6" s="91" t="inlineStr">
        <is>
          <t>C</t>
        </is>
      </c>
      <c r="B6" s="91" t="inlineStr">
        <is>
          <t>Mary Lam</t>
        </is>
      </c>
      <c r="C6" s="93" t="n">
        <v>852</v>
      </c>
      <c r="D6" s="93" t="n">
        <v>88880000</v>
      </c>
      <c r="E6" s="93" t="n">
        <v>29292929</v>
      </c>
      <c r="F6" s="91" t="inlineStr">
        <is>
          <t>SF Express A</t>
        </is>
      </c>
      <c r="G6" s="91" t="inlineStr">
        <is>
          <t>香港/Hong Kong</t>
        </is>
      </c>
      <c r="H6" s="91" t="inlineStr">
        <is>
          <t>Kwai Tsing District</t>
        </is>
      </c>
      <c r="I6" s="91" t="inlineStr">
        <is>
          <t>Tsing Yi</t>
        </is>
      </c>
      <c r="J6" s="91" t="inlineStr">
        <is>
          <t>9th Floor, Asia Logistics Center, No. 36, Shipping Road.</t>
        </is>
      </c>
      <c r="K6" s="91" t="inlineStr">
        <is>
          <t>林順豐</t>
        </is>
      </c>
      <c r="L6" s="93" t="n">
        <v>86</v>
      </c>
      <c r="M6" s="93" t="n">
        <v>13888880000</v>
      </c>
      <c r="N6" s="93" t="n">
        <v>38008800</v>
      </c>
      <c r="O6" s="91" t="inlineStr">
        <is>
          <t>SF Express B</t>
        </is>
      </c>
      <c r="P6" s="140" t="n"/>
      <c r="Q6" s="89" t="inlineStr">
        <is>
          <t>廣東省</t>
        </is>
      </c>
      <c r="R6" s="91" t="inlineStr">
        <is>
          <t>深圳市</t>
        </is>
      </c>
      <c r="S6" s="91" t="inlineStr">
        <is>
          <t>南山區</t>
        </is>
      </c>
      <c r="T6" s="91" t="inlineStr">
        <is>
          <t>XXXXXXXXXXX</t>
        </is>
      </c>
      <c r="V6" s="93" t="n"/>
      <c r="W6" s="89" t="inlineStr">
        <is>
          <t>T-shirt</t>
        </is>
      </c>
      <c r="X6" s="93" t="n">
        <v>1.11</v>
      </c>
      <c r="Y6" s="93" t="n">
        <v>1</v>
      </c>
      <c r="Z6" s="89" t="inlineStr">
        <is>
          <t>件/piece</t>
        </is>
      </c>
      <c r="AA6" s="93" t="n">
        <v>100</v>
      </c>
      <c r="AB6" s="89" t="inlineStr">
        <is>
          <t>港元/HKD</t>
        </is>
      </c>
      <c r="AC6" s="89" t="inlineStr">
        <is>
          <t>中國香港/Hong Kong China</t>
        </is>
      </c>
      <c r="AD6" s="93" t="n">
        <v>1.11</v>
      </c>
      <c r="AE6" s="93" t="n">
        <v>1</v>
      </c>
      <c r="AF6" s="91" t="n"/>
      <c r="AG6" s="89" t="inlineStr">
        <is>
          <t>順豐特快/SF Speedy Express</t>
        </is>
      </c>
      <c r="AH6" s="89" t="inlineStr">
        <is>
          <t>寄付月結/Pay by Sender (Credit Account)</t>
        </is>
      </c>
      <c r="AI6" s="89" t="inlineStr">
        <is>
          <t>寄付月結/Pay by Sender (Credit Account)</t>
        </is>
      </c>
      <c r="AJ6" s="93" t="n">
        <v>8520000888</v>
      </c>
      <c r="AK6" s="136" t="n"/>
      <c r="AL6" s="139" t="n"/>
      <c r="AN6" s="93" t="n"/>
      <c r="AR6" s="93" t="n"/>
      <c r="AS6" s="93" t="n"/>
      <c r="AU6" s="93" t="n"/>
      <c r="AV6" s="15" t="inlineStr">
        <is>
          <t>No card</t>
        </is>
      </c>
      <c r="AW6" s="15" t="n"/>
      <c r="AX6" s="15" t="n"/>
      <c r="AY6" s="141" t="n">
        <v>46068</v>
      </c>
      <c r="AZ6" s="86" t="n">
        <v>0.4166666666666667</v>
      </c>
      <c r="BA6" s="15" t="n"/>
    </row>
    <row r="7" customFormat="1" s="89">
      <c r="A7" s="91" t="inlineStr">
        <is>
          <t>D</t>
        </is>
      </c>
      <c r="B7" s="91" t="inlineStr">
        <is>
          <t>Mary Lam</t>
        </is>
      </c>
      <c r="C7" s="93" t="n">
        <v>852</v>
      </c>
      <c r="D7" s="93" t="n">
        <v>88880000</v>
      </c>
      <c r="E7" s="93" t="n">
        <v>29292929</v>
      </c>
      <c r="F7" s="91" t="inlineStr">
        <is>
          <t>SF Express A</t>
        </is>
      </c>
      <c r="G7" s="91" t="inlineStr">
        <is>
          <t>香港/Hong Kong</t>
        </is>
      </c>
      <c r="H7" s="91" t="inlineStr">
        <is>
          <t>Kwai Tsing District</t>
        </is>
      </c>
      <c r="I7" s="91" t="inlineStr">
        <is>
          <t>Tsing Yi</t>
        </is>
      </c>
      <c r="J7" s="91" t="inlineStr">
        <is>
          <t>9th Floor, Asia Logistics Center, No. 36, Shipping Road.</t>
        </is>
      </c>
      <c r="K7" s="91" t="inlineStr">
        <is>
          <t>林順豐</t>
        </is>
      </c>
      <c r="L7" s="93" t="n">
        <v>886</v>
      </c>
      <c r="M7" s="122" t="inlineStr">
        <is>
          <t>0937888000</t>
        </is>
      </c>
      <c r="N7" s="93" t="n">
        <v>87118080</v>
      </c>
      <c r="O7" s="91" t="n"/>
      <c r="P7" s="140" t="n"/>
      <c r="Q7" s="89" t="inlineStr">
        <is>
          <t>台灣</t>
        </is>
      </c>
      <c r="R7" s="91" t="inlineStr">
        <is>
          <t>台北市</t>
        </is>
      </c>
      <c r="S7" s="91" t="inlineStr">
        <is>
          <t>大安區</t>
        </is>
      </c>
      <c r="T7" s="91" t="inlineStr">
        <is>
          <t>XXXXXXXXXXX</t>
        </is>
      </c>
      <c r="U7" s="89" t="inlineStr">
        <is>
          <t>台灣身份證/Taiwan I.D. Card</t>
        </is>
      </c>
      <c r="V7" s="93" t="inlineStr">
        <is>
          <t>A199001011</t>
        </is>
      </c>
      <c r="W7" s="89" t="inlineStr">
        <is>
          <t>T-shirt</t>
        </is>
      </c>
      <c r="X7" s="93" t="n">
        <v>1.11</v>
      </c>
      <c r="Y7" s="93" t="n">
        <v>1</v>
      </c>
      <c r="Z7" s="89" t="inlineStr">
        <is>
          <t>件/piece</t>
        </is>
      </c>
      <c r="AA7" s="93" t="n">
        <v>100</v>
      </c>
      <c r="AB7" s="89" t="inlineStr">
        <is>
          <t>港元/HKD</t>
        </is>
      </c>
      <c r="AC7" s="89" t="inlineStr">
        <is>
          <t>中國香港/Hong Kong China</t>
        </is>
      </c>
      <c r="AD7" s="93" t="n">
        <v>1.11</v>
      </c>
      <c r="AE7" s="93" t="n">
        <v>1</v>
      </c>
      <c r="AF7" s="91" t="n"/>
      <c r="AG7" s="89" t="inlineStr">
        <is>
          <t>順豐特快/SF Speedy Express</t>
        </is>
      </c>
      <c r="AH7" s="89" t="inlineStr">
        <is>
          <t>到付/Pay by Recipient</t>
        </is>
      </c>
      <c r="AI7" s="89" t="inlineStr">
        <is>
          <t>到付/Pay by Recipient</t>
        </is>
      </c>
      <c r="AJ7" s="93" t="n"/>
      <c r="AK7" s="136" t="n"/>
      <c r="AL7" s="139" t="n"/>
      <c r="AN7" s="93" t="n"/>
      <c r="AR7" s="93" t="n"/>
      <c r="AS7" s="93" t="n"/>
      <c r="AU7" s="93" t="n"/>
      <c r="AV7" s="15" t="n"/>
      <c r="AW7" s="15" t="n"/>
      <c r="AX7" s="15" t="n"/>
      <c r="AY7" s="16" t="n"/>
      <c r="AZ7" s="16" t="n"/>
      <c r="BA7" s="15" t="n"/>
    </row>
    <row r="8">
      <c r="P8" s="140" t="n"/>
    </row>
    <row r="9">
      <c r="P9" s="140" t="n"/>
    </row>
    <row r="10">
      <c r="P10" s="140" t="n"/>
    </row>
    <row r="11">
      <c r="P11" s="140" t="n"/>
    </row>
    <row r="12">
      <c r="P12" s="140" t="n"/>
    </row>
    <row r="13">
      <c r="P13" s="140" t="n"/>
    </row>
    <row r="14">
      <c r="P14" s="140" t="n"/>
    </row>
    <row r="15">
      <c r="F15" s="29" t="n"/>
      <c r="P15" s="140" t="n"/>
    </row>
    <row r="16">
      <c r="P16" s="140" t="n"/>
    </row>
    <row r="17">
      <c r="P17" s="140" t="n"/>
    </row>
    <row r="18">
      <c r="P18" s="140" t="n"/>
    </row>
    <row r="19">
      <c r="P19" s="140" t="n"/>
      <c r="AB19" s="89" t="n"/>
    </row>
    <row r="20">
      <c r="P20" s="140" t="n"/>
    </row>
    <row r="21">
      <c r="P21" s="140" t="n"/>
    </row>
    <row r="22">
      <c r="P22" s="140" t="n"/>
    </row>
    <row r="23">
      <c r="P23" s="140" t="n"/>
    </row>
    <row r="24">
      <c r="P24" s="140" t="n"/>
    </row>
    <row r="25">
      <c r="P25" s="140" t="n"/>
    </row>
    <row r="26">
      <c r="P26" s="140" t="n"/>
    </row>
    <row r="27">
      <c r="P27" s="140" t="n"/>
    </row>
    <row r="28">
      <c r="P28" s="140" t="n"/>
    </row>
    <row r="29">
      <c r="P29" s="140" t="n"/>
    </row>
    <row r="30">
      <c r="P30" s="140" t="n"/>
    </row>
    <row r="31">
      <c r="P31" s="140" t="n"/>
    </row>
    <row r="32">
      <c r="P32" s="140" t="n"/>
    </row>
    <row r="33">
      <c r="P33" s="140" t="n"/>
    </row>
    <row r="34">
      <c r="P34" s="140" t="n"/>
    </row>
    <row r="35">
      <c r="P35" s="140" t="n"/>
    </row>
    <row r="36">
      <c r="P36" s="140" t="n"/>
    </row>
    <row r="37">
      <c r="P37" s="140" t="n"/>
    </row>
    <row r="38">
      <c r="P38" s="140" t="n"/>
    </row>
    <row r="39">
      <c r="P39" s="140" t="n"/>
    </row>
    <row r="40">
      <c r="P40" s="140" t="n"/>
    </row>
    <row r="41">
      <c r="P41" s="140" t="n"/>
    </row>
    <row r="42">
      <c r="P42" s="140" t="n"/>
    </row>
    <row r="43">
      <c r="P43" s="140" t="n"/>
    </row>
    <row r="44">
      <c r="P44" s="140" t="n"/>
    </row>
    <row r="45">
      <c r="P45" s="140" t="n"/>
    </row>
    <row r="46">
      <c r="P46" s="140" t="n"/>
    </row>
    <row r="47">
      <c r="P47" s="140" t="n"/>
    </row>
    <row r="48">
      <c r="P48" s="140" t="n"/>
    </row>
    <row r="49">
      <c r="P49" s="140" t="n"/>
    </row>
    <row r="50">
      <c r="P50" s="140" t="n"/>
    </row>
    <row r="51">
      <c r="P51" s="140" t="n"/>
    </row>
    <row r="52">
      <c r="P52" s="140" t="n"/>
    </row>
    <row r="53">
      <c r="P53" s="140" t="n"/>
    </row>
    <row r="54">
      <c r="P54" s="140" t="n"/>
    </row>
    <row r="55">
      <c r="P55" s="140" t="n"/>
    </row>
    <row r="56">
      <c r="P56" s="140" t="n"/>
    </row>
    <row r="57">
      <c r="P57" s="140" t="n"/>
    </row>
    <row r="58">
      <c r="P58" s="140" t="n"/>
    </row>
    <row r="59">
      <c r="P59" s="140" t="n"/>
    </row>
    <row r="60">
      <c r="P60" s="140" t="n"/>
    </row>
    <row r="61">
      <c r="P61" s="140" t="n"/>
    </row>
    <row r="62">
      <c r="P62" s="140" t="n"/>
    </row>
    <row r="63">
      <c r="P63" s="140" t="n"/>
    </row>
    <row r="64">
      <c r="P64" s="140" t="n"/>
    </row>
    <row r="65">
      <c r="P65" s="140" t="n"/>
    </row>
    <row r="66">
      <c r="P66" s="140" t="n"/>
    </row>
    <row r="67">
      <c r="P67" s="140" t="n"/>
    </row>
    <row r="68">
      <c r="P68" s="140" t="n"/>
    </row>
    <row r="69">
      <c r="P69" s="140" t="n"/>
    </row>
    <row r="70">
      <c r="P70" s="140" t="n"/>
    </row>
    <row r="71">
      <c r="P71" s="140" t="n"/>
    </row>
    <row r="72">
      <c r="P72" s="140" t="n"/>
    </row>
    <row r="73">
      <c r="P73" s="140" t="n"/>
    </row>
    <row r="74">
      <c r="P74" s="140" t="n"/>
    </row>
    <row r="75">
      <c r="P75" s="140" t="n"/>
    </row>
    <row r="76">
      <c r="P76" s="140" t="n"/>
    </row>
    <row r="77">
      <c r="P77" s="140" t="n"/>
    </row>
    <row r="78">
      <c r="P78" s="140" t="n"/>
    </row>
    <row r="79">
      <c r="P79" s="140" t="n"/>
    </row>
    <row r="80">
      <c r="P80" s="140" t="n"/>
    </row>
    <row r="81">
      <c r="P81" s="140" t="n"/>
    </row>
    <row r="82">
      <c r="P82" s="140" t="n"/>
    </row>
    <row r="83">
      <c r="P83" s="140" t="n"/>
    </row>
    <row r="84">
      <c r="P84" s="140" t="n"/>
    </row>
    <row r="85">
      <c r="P85" s="140" t="n"/>
    </row>
    <row r="86">
      <c r="P86" s="140" t="n"/>
    </row>
    <row r="87">
      <c r="P87" s="140" t="n"/>
    </row>
    <row r="88">
      <c r="P88" s="140" t="n"/>
    </row>
    <row r="89">
      <c r="P89" s="140" t="n"/>
    </row>
    <row r="90">
      <c r="P90" s="140" t="n"/>
    </row>
    <row r="91">
      <c r="P91" s="140" t="n"/>
    </row>
    <row r="92">
      <c r="P92" s="140" t="n"/>
    </row>
    <row r="93">
      <c r="P93" s="140" t="n"/>
    </row>
    <row r="94">
      <c r="P94" s="140" t="n"/>
    </row>
    <row r="95">
      <c r="P95" s="140" t="n"/>
    </row>
    <row r="96">
      <c r="P96" s="140" t="n"/>
    </row>
    <row r="97">
      <c r="P97" s="140" t="n"/>
    </row>
    <row r="98">
      <c r="P98" s="140" t="n"/>
    </row>
    <row r="99">
      <c r="P99" s="140" t="n"/>
    </row>
    <row r="100">
      <c r="P100" s="140" t="n"/>
    </row>
  </sheetData>
  <sheetProtection selectLockedCells="0" selectUnlockedCells="0" sheet="1" objects="1" insertRows="1" insertHyperlinks="1" autoFilter="1" scenarios="0" formatColumns="0" deleteColumns="1" insertColumns="1" pivotTables="1" deleteRows="1" formatCells="1" formatRows="1" sort="1"/>
  <mergeCells count="7">
    <mergeCell ref="AD1:AF1"/>
    <mergeCell ref="K1:V1"/>
    <mergeCell ref="AN1:AZ1"/>
    <mergeCell ref="AH1:AJ1"/>
    <mergeCell ref="AK1:AL1"/>
    <mergeCell ref="B1:J1"/>
    <mergeCell ref="W1:AC1"/>
  </mergeCells>
  <conditionalFormatting sqref="AY6">
    <cfRule type="expression" priority="4" dxfId="4">
      <formula>AND($AY6&lt;TODAY(),COUNTBLANK($AY6)=0)</formula>
    </cfRule>
    <cfRule type="expression" priority="3" dxfId="4">
      <formula>AND($AZ6&lt;&gt;"",$AY6="")</formula>
    </cfRule>
  </conditionalFormatting>
  <conditionalFormatting sqref="AZ6">
    <cfRule type="expression" priority="2" dxfId="2">
      <formula>AND($AY6&lt;&gt;"",$AZ6="")</formula>
    </cfRule>
  </conditionalFormatting>
  <conditionalFormatting sqref="A4:A1000">
    <cfRule type="expression" priority="71" dxfId="0">
      <formula>AND(LEN($A3)&lt;&gt;0,LEN($A4)&lt;&gt;0,$A3=$A4)</formula>
    </cfRule>
  </conditionalFormatting>
  <conditionalFormatting sqref="B4:B1000">
    <cfRule type="expression" priority="70" dxfId="1">
      <formula>AND(LEN($A3)&lt;&gt;0,LEN($A4)&lt;&gt;0,$A3=$A4)</formula>
    </cfRule>
  </conditionalFormatting>
  <conditionalFormatting sqref="C4:C1000">
    <cfRule type="expression" priority="69" dxfId="1">
      <formula>AND(LEN($A3)&lt;&gt;0,LEN($A4)&lt;&gt;0,$A3=$A4)</formula>
    </cfRule>
  </conditionalFormatting>
  <conditionalFormatting sqref="D4:D1000">
    <cfRule type="expression" priority="68" dxfId="1">
      <formula>AND(LEN($A3)&lt;&gt;0,LEN($A4)&lt;&gt;0,$A3=$A4)</formula>
    </cfRule>
  </conditionalFormatting>
  <conditionalFormatting sqref="E4:E1000">
    <cfRule type="expression" priority="67" dxfId="1">
      <formula>AND(LEN($A3)&lt;&gt;0,LEN($A4)&lt;&gt;0,$A3=$A4)</formula>
    </cfRule>
  </conditionalFormatting>
  <conditionalFormatting sqref="F4:F1000">
    <cfRule type="expression" priority="66" dxfId="1">
      <formula>AND(LEN($A3)&lt;&gt;0,LEN($A4)&lt;&gt;0,$A3=$A4)</formula>
    </cfRule>
  </conditionalFormatting>
  <conditionalFormatting sqref="G5:G1000">
    <cfRule type="expression" priority="65" dxfId="1">
      <formula>AND(LEN($A4)&lt;&gt;0,LEN($A5)&lt;&gt;0,$A4=$A5)</formula>
    </cfRule>
  </conditionalFormatting>
  <conditionalFormatting sqref="H4:H1000">
    <cfRule type="expression" priority="64" dxfId="1">
      <formula>AND(LEN($A3)&lt;&gt;0,LEN($A4)&lt;&gt;0,$A3=$A4)</formula>
    </cfRule>
  </conditionalFormatting>
  <conditionalFormatting sqref="I4:I1000">
    <cfRule type="expression" priority="63" dxfId="1">
      <formula>AND(LEN($A3)&lt;&gt;0,LEN($A4)&lt;&gt;0,$A3=$A4)</formula>
    </cfRule>
  </conditionalFormatting>
  <conditionalFormatting sqref="J4:J1000">
    <cfRule type="expression" priority="62" dxfId="1">
      <formula>AND(LEN($A3)&lt;&gt;0,LEN($A4)&lt;&gt;0,$A3=$A4)</formula>
    </cfRule>
  </conditionalFormatting>
  <conditionalFormatting sqref="K4:K1000">
    <cfRule type="expression" priority="61" dxfId="1">
      <formula>AND(LEN($A3)&lt;&gt;0,LEN($A4)&lt;&gt;0,$A3=$A4)</formula>
    </cfRule>
  </conditionalFormatting>
  <conditionalFormatting sqref="L4:L1000">
    <cfRule type="expression" priority="60" dxfId="1">
      <formula>AND(LEN($A3)&lt;&gt;0,LEN($A4)&lt;&gt;0,$A3=$A4)</formula>
    </cfRule>
  </conditionalFormatting>
  <conditionalFormatting sqref="M3:M1000">
    <cfRule type="expression" priority="210" dxfId="2">
      <formula>AND(COUNTBLANK($AQ3)=0,COUNTBLANK($M3)=1)</formula>
    </cfRule>
  </conditionalFormatting>
  <conditionalFormatting sqref="M4:M1000">
    <cfRule type="expression" priority="209" dxfId="1">
      <formula>AND(LEN($A3)&lt;&gt;0,LEN($A4)&lt;&gt;0,$A3=$A4)</formula>
    </cfRule>
  </conditionalFormatting>
  <conditionalFormatting sqref="N4:N1000">
    <cfRule type="expression" priority="59" dxfId="1">
      <formula>AND(LEN($A3)&lt;&gt;0,LEN($A4)&lt;&gt;0,$A3=$A4)</formula>
    </cfRule>
  </conditionalFormatting>
  <conditionalFormatting sqref="O4:O1000">
    <cfRule type="expression" priority="58" dxfId="1">
      <formula>AND(LEN($A3)&lt;&gt;0,LEN($A4)&lt;&gt;0,$A3=$A4)</formula>
    </cfRule>
  </conditionalFormatting>
  <conditionalFormatting sqref="P4:P1000">
    <cfRule type="expression" priority="57" dxfId="1">
      <formula>AND(LEN($A3)&lt;&gt;0,LEN($A4)&lt;&gt;0,$A3=$A4)</formula>
    </cfRule>
  </conditionalFormatting>
  <conditionalFormatting sqref="Q3:Q1000">
    <cfRule type="expression" priority="211" dxfId="1">
      <formula>COUNT(SEARCH("853",$P3))&lt;&gt;0</formula>
    </cfRule>
    <cfRule type="expression" priority="212" dxfId="3">
      <formula>COUNT(SEARCH("852",$P3))&lt;&gt;0</formula>
    </cfRule>
  </conditionalFormatting>
  <conditionalFormatting sqref="Q4:Q1000">
    <cfRule type="expression" priority="208" dxfId="1">
      <formula>AND(LEN($A3)&lt;&gt;0,LEN($A4)&lt;&gt;0,$A3=$A4)</formula>
    </cfRule>
  </conditionalFormatting>
  <conditionalFormatting sqref="R3:R1000">
    <cfRule type="expression" priority="206" dxfId="1">
      <formula>COUNT(SEARCH("853",$P3))&lt;&gt;0</formula>
    </cfRule>
    <cfRule type="expression" priority="207" dxfId="3">
      <formula>COUNT(SEARCH("852",$P3))&lt;&gt;0</formula>
    </cfRule>
  </conditionalFormatting>
  <conditionalFormatting sqref="R4:R1000">
    <cfRule type="expression" priority="205" dxfId="1">
      <formula>AND(LEN($A3)&lt;&gt;0,LEN($A4)&lt;&gt;0,$A3=$A4)</formula>
    </cfRule>
  </conditionalFormatting>
  <conditionalFormatting sqref="S3:S1000">
    <cfRule type="expression" priority="203" dxfId="1">
      <formula>COUNT(SEARCH("853",$P3))&lt;&gt;0</formula>
    </cfRule>
    <cfRule type="expression" priority="204" dxfId="3">
      <formula>COUNT(SEARCH("852",$P3))&lt;&gt;0</formula>
    </cfRule>
  </conditionalFormatting>
  <conditionalFormatting sqref="S4:S1000">
    <cfRule type="expression" priority="202" dxfId="1">
      <formula>AND(LEN($A3)&lt;&gt;0,LEN($A4)&lt;&gt;0,$A3=$A4)</formula>
    </cfRule>
  </conditionalFormatting>
  <conditionalFormatting sqref="T3:T1000">
    <cfRule type="expression" priority="200" dxfId="1">
      <formula>COUNT(SEARCH("853",$P3))&lt;&gt;0</formula>
    </cfRule>
    <cfRule type="expression" priority="201" dxfId="3">
      <formula>COUNT(SEARCH("852",$P3))&lt;&gt;0</formula>
    </cfRule>
  </conditionalFormatting>
  <conditionalFormatting sqref="T4:T1000">
    <cfRule type="expression" priority="199" dxfId="1">
      <formula>AND(LEN($A3)&lt;&gt;0,LEN($A4)&lt;&gt;0,$A3=$A4)</formula>
    </cfRule>
  </conditionalFormatting>
  <conditionalFormatting sqref="U3:U1000">
    <cfRule type="expression" priority="213" dxfId="2">
      <formula>AND(OR($Q3="台湾",$Q3="台灣",$Q3="臺灣",$Q3="臺湾",$Q3="Taiwan"),AND($O3&lt;&gt;0),ISBLANK($U3))</formula>
    </cfRule>
  </conditionalFormatting>
  <conditionalFormatting sqref="U4:U1000">
    <cfRule type="expression" priority="198" dxfId="1">
      <formula>AND(LEN($A3)&lt;&gt;0,LEN($A4)&lt;&gt;0,$A3=$A4)</formula>
    </cfRule>
  </conditionalFormatting>
  <conditionalFormatting sqref="V3:V1000">
    <cfRule type="expression" priority="154" dxfId="2">
      <formula>AND(OR($Q3="台湾",$Q3="台灣",$Q3="臺灣",$Q3="臺湾",$Q3="Taiwan"),AND($O3&lt;&gt;0),ISBLANK($V3))</formula>
    </cfRule>
  </conditionalFormatting>
  <conditionalFormatting sqref="V4:V1000">
    <cfRule type="expression" priority="197" dxfId="1">
      <formula>AND(LEN($A3)&lt;&gt;0,LEN($A4)&lt;&gt;0,$A3=$A4)</formula>
    </cfRule>
  </conditionalFormatting>
  <conditionalFormatting sqref="W3:W1000">
    <cfRule type="expression" priority="138" dxfId="2">
      <formula>AND(OR(RIGHT($Q3,8)="Province",RIGHT($Q3,4)="City",RIGHT($Q3,6)="County",RIGHT($Q3,8)="District",RIGHT($Q3,8)="Township"),ISBLANK($W3))</formula>
    </cfRule>
    <cfRule type="expression" priority="139" dxfId="2">
      <formula>AND(OR(RIGHT($Q3,1)="省",RIGHT($Q3,1)="市",RIGHT($Q3,1)="区",RIGHT($Q3,1)="县",RIGHT($Q3,1)="镇",RIGHT($Q3,1)="乡"),ISBLANK($W3))</formula>
    </cfRule>
    <cfRule type="expression" priority="140" dxfId="2">
      <formula>AND(OR(RIGHT($Q3,1)="省",RIGHT($Q3,1)="市",RIGHT($Q3,1)="區",RIGHT($Q3,1)="縣",RIGHT($Q3,1)="鎮",RIGHT($Q3,1)="鄉"),ISBLANK($W3))</formula>
    </cfRule>
    <cfRule type="expression" priority="141" dxfId="2">
      <formula>AND(OR($G3="香港",$G3="Hong Kong",$G3="香港/Hong Kong"),OR($Q3="Hong Kong",$Q3="Hong Kong, China",$Q3="HK",$Q3="HKSAR"),ISBLANK($W3))</formula>
    </cfRule>
    <cfRule type="expression" priority="142" dxfId="2">
      <formula>AND(OR($G3="香港",$G3="Hong Kong",$G3="香港/Hong Kong"),OR($Q3="香港",$Q3="中国香港",$Q3="香港特别行政区"),ISBLANK($W3))</formula>
    </cfRule>
    <cfRule type="expression" priority="143" dxfId="2">
      <formula>AND(OR($G3="香港",$G3="Hong Kong",$G3="香港/Hong Kong"),OR($Q3="香港",$Q3="中國香港",$Q3="香港特別行政區"),ISBLANK($W3))</formula>
    </cfRule>
    <cfRule type="expression" priority="144" dxfId="2">
      <formula>AND(OR($G3="澳门",$G3="澳門",$G3="Macau",$G3="澳門/Macau"),OR($Q3="Macau",$Q3="Macau, China"),ISBLANK($W3))</formula>
    </cfRule>
    <cfRule type="expression" priority="145" dxfId="2">
      <formula>AND(OR($G3="澳门",$G3="澳門",$G3="Macau",$G3="澳門/Macau"),OR($Q3="澳门",$Q3="中国澳门",$Q3="澳门特别行政区"),ISBLANK($W3))</formula>
    </cfRule>
    <cfRule type="expression" priority="146" dxfId="2">
      <formula>AND(OR($G3="澳门",$G3="澳門",$G3="Macau",$G3="澳門/Macau"),OR($Q3="澳門",$Q3="中國澳門",$Q3="澳門特別行政區"),ISBLANK($W3))</formula>
    </cfRule>
    <cfRule type="expression" priority="147" dxfId="2">
      <formula>AND(OR($G3="澳门",$G3="澳門",$G3="Macau",$G3="澳門/Macau"),OR($Q3="Hong Kong",$Q3="Hong Kong, China",$Q3="HK",$Q3="HKSAR",$Q3="Taiwan",$Q3="Taiwan, China"),ISBLANK($W3))</formula>
    </cfRule>
    <cfRule type="expression" priority="148" dxfId="2">
      <formula>AND(OR($G3="澳门",$G3="澳門",$G3="Macau",$G3="澳門/Macau"),OR($Q3="香港",$Q3="中国香港",$Q3="香港特别行政区",$Q3="台湾",$Q3="中国台湾"),ISBLANK($W3))</formula>
    </cfRule>
    <cfRule type="expression" priority="149" dxfId="2">
      <formula>AND(OR($G3="澳门",$G3="澳門",$G3="Macau",$G3="澳門/Macau"),OR($Q3="香港",$Q3="中國香港",$Q3="香港特別行政區",$Q3="台灣",$Q3="中國台灣"),ISBLANK($W3))</formula>
    </cfRule>
    <cfRule type="expression" priority="150" dxfId="2">
      <formula>AND(OR($G3="香港",$G3="Hong Kong",$G3="香港/Hong Kong"),OR($Q3="Macau",$Q3="Macau, China",$Q3="Taiwan",$Q3="Taiwan, China"),ISBLANK($W3))</formula>
    </cfRule>
    <cfRule type="expression" priority="151" dxfId="2">
      <formula>AND(OR($G3="香港",$G3="Hong Kong",$G3="香港/Hong Kong"),OR($Q3="澳门",$Q3="中国澳门",$Q3="澳门特别行政区",$Q3="台湾",$Q3="中国台湾"),ISBLANK($W3))</formula>
    </cfRule>
    <cfRule type="expression" priority="152" dxfId="2">
      <formula>AND(OR($G3="香港",$G3="Hong Kong",$G3="香港/Hong Kong"),OR($Q3="澳門",$Q3="中國澳門",$Q3="澳門特別行政區",$Q3="台灣",$Q3="中國台灣"),ISBLANK($W3))</formula>
    </cfRule>
    <cfRule type="expression" priority="153" dxfId="2">
      <formula>AND(LEN($X3)&lt;&gt;0,ISBLANK($W3))</formula>
    </cfRule>
  </conditionalFormatting>
  <conditionalFormatting sqref="X3:X1000">
    <cfRule type="expression" priority="122" dxfId="2">
      <formula>AND(OR(RIGHT($Q3,8)="Province",RIGHT($Q3,4)="City",RIGHT($Q3,6)="County",RIGHT($Q3,8)="District",RIGHT($Q3,8)="Township"),ISBLANK($X3))</formula>
    </cfRule>
    <cfRule type="expression" priority="123" dxfId="2">
      <formula>AND(OR(RIGHT($Q3,1)="省",RIGHT($Q3,1)="市",RIGHT($Q3,1)="区",RIGHT($Q3,1)="县",RIGHT($Q3,1)="镇",RIGHT($Q3,1)="乡"),ISBLANK($X3))</formula>
    </cfRule>
    <cfRule type="expression" priority="124" dxfId="2">
      <formula>AND(OR(RIGHT($Q3,1)="省",RIGHT($Q3,1)="市",RIGHT($Q3,1)="區",RIGHT($Q3,1)="縣",RIGHT($Q3,1)="鎮",RIGHT($Q3,1)="鄉"),ISBLANK($X3))</formula>
    </cfRule>
    <cfRule type="expression" priority="125" dxfId="2">
      <formula>AND(OR($G3="香港",$G3="Hong Kong",$G3="香港/Hong Kong"),OR($Q3="Hong Kong",$Q3="Hong Kong, China",$Q3="HK",$Q3="HKSAR"),ISBLANK($X3))</formula>
    </cfRule>
    <cfRule type="expression" priority="126" dxfId="2">
      <formula>AND(OR($G3="香港",$G3="Hong Kong",$G3="香港/Hong Kong"),OR($Q3="香港",$Q3="中国香港",$Q3="香港特别行政区"),ISBLANK($X3))</formula>
    </cfRule>
    <cfRule type="expression" priority="127" dxfId="2">
      <formula>AND(OR($G3="香港",$G3="Hong Kong",$G3="香港/Hong Kong"),OR($Q3="香港",$Q3="中國香港",$Q3="香港特別行政區"),ISBLANK($X3))</formula>
    </cfRule>
    <cfRule type="expression" priority="128" dxfId="2">
      <formula>AND(OR($G3="澳门",$G3="澳門",$G3="Macau",$G3="澳門/Macau"),OR($Q3="Macau",$Q3="Macau, China"),ISBLANK($X3))</formula>
    </cfRule>
    <cfRule type="expression" priority="129" dxfId="2">
      <formula>AND(OR($G3="澳门",$G3="澳門",$G3="Macau",$G3="澳門/Macau"),OR($Q3="澳门",$Q3="中国澳门",$Q3="澳门特别行政区"),ISBLANK($X3))</formula>
    </cfRule>
    <cfRule type="expression" priority="130" dxfId="2">
      <formula>AND(OR($G3="澳门",$G3="澳門",$G3="Macau",$G3="澳門/Macau"),OR($Q3="澳門",$Q3="中國澳門",$Q3="澳門特別行政區"),ISBLANK($X3))</formula>
    </cfRule>
    <cfRule type="expression" priority="131" dxfId="2">
      <formula>AND(OR($G3="澳门",$G3="澳門",$G3="Macau",$G3="澳門/Macau"),OR($Q3="Hong Kong",$Q3="Hong Kong, China",$Q3="HK",$Q3="HKSAR",$Q3="Taiwan",$Q3="Taiwan, China"),ISBLANK($X3))</formula>
    </cfRule>
    <cfRule type="expression" priority="132" dxfId="2">
      <formula>AND(OR($G3="澳门",$G3="澳門",$G3="Macau",$G3="澳門/Macau"),OR($Q3="香港",$Q3="中国香港",$Q3="香港特别行政区",$Q3="台湾",$Q3="中国台湾"),ISBLANK($X3))</formula>
    </cfRule>
    <cfRule type="expression" priority="133" dxfId="2">
      <formula>AND(OR($G3="澳门",$G3="澳門",$G3="Macau",$G3="澳門/Macau"),OR($Q3="香港",$Q3="中國香港",$Q3="香港特別行政區",$Q3="台灣",$Q3="中國台灣"),ISBLANK($X3))</formula>
    </cfRule>
    <cfRule type="expression" priority="134" dxfId="2">
      <formula>AND(OR($G3="香港",$G3="Hong Kong",$G3="香港/Hong Kong"),OR($Q3="Macau",$Q3="Macau, China",$Q3="Taiwan",$Q3="Taiwan, China"),ISBLANK($X3))</formula>
    </cfRule>
    <cfRule type="expression" priority="135" dxfId="2">
      <formula>AND(OR($G3="香港",$G3="Hong Kong",$G3="香港/Hong Kong"),OR($Q3="澳门",$Q3="中国澳门",$Q3="澳门特别行政区",$Q3="台湾",$Q3="中国台湾"),ISBLANK($X3))</formula>
    </cfRule>
    <cfRule type="expression" priority="136" dxfId="2">
      <formula>AND(OR($G3="香港",$G3="Hong Kong",$G3="香港/Hong Kong"),OR($Q3="澳門",$Q3="中國澳門",$Q3="澳門特別行政區",$Q3="台灣",$Q3="中國台灣"),ISBLANK($X3))</formula>
    </cfRule>
    <cfRule type="expression" priority="137" dxfId="2">
      <formula>AND(LEN($W3)&lt;&gt;0,ISBLANK($X3))</formula>
    </cfRule>
  </conditionalFormatting>
  <conditionalFormatting sqref="Y3:Y1000">
    <cfRule type="expression" priority="112" dxfId="2">
      <formula>AND(OR(RIGHT($Q3,8)="Province",RIGHT($Q3,4)="City",RIGHT($Q3,6)="County",RIGHT($Q3,8)="District",RIGHT($Q3,8)="Township"),ISBLANK($Y3))</formula>
    </cfRule>
    <cfRule type="expression" priority="113" dxfId="2">
      <formula>AND(OR(RIGHT($Q3,1)="省",RIGHT($Q3,1)="市",RIGHT($Q3,1)="区",RIGHT($Q3,1)="县",RIGHT($Q3,1)="镇",RIGHT($Q3,1)="乡"),ISBLANK($Y3))</formula>
    </cfRule>
    <cfRule type="expression" priority="114" dxfId="2">
      <formula>AND(OR(RIGHT($Q3,1)="省",RIGHT($Q3,1)="市",RIGHT($Q3,1)="區",RIGHT($Q3,1)="縣",RIGHT($Q3,1)="鎮",RIGHT($Q3,1)="鄉"),ISBLANK($Y3))</formula>
    </cfRule>
    <cfRule type="expression" priority="115" dxfId="2">
      <formula>AND(OR($G3="澳门",$G3="澳門",$G3="Macau",$G3="澳門/Macau"),OR($Q3="Hong Kong",$Q3="Hong Kong, China",$Q3="HK",$Q3="HKSAR",$Q3="Taiwan",$Q3="Taiwan, China"),ISBLANK($Y3))</formula>
    </cfRule>
    <cfRule type="expression" priority="116" dxfId="2">
      <formula>AND(OR($G3="澳门",$G3="澳門",$G3="Macau",$G3="澳門/Macau"),OR($Q3="香港",$Q3="中国香港",$Q3="香港特别行政区",$Q3="台湾",$Q3="中国台湾"),ISBLANK($Y3))</formula>
    </cfRule>
    <cfRule type="expression" priority="117" dxfId="2">
      <formula>AND(OR($G3="澳门",$G3="澳門",$G3="Macau",$G3="澳門/Macau"),OR($Q3="香港",$Q3="中國香港",$Q3="香港特別行政區",$Q3="台灣",$Q3="中國台灣"),ISBLANK($Y3))</formula>
    </cfRule>
    <cfRule type="expression" priority="118" dxfId="2">
      <formula>AND(OR($G3="香港",$G3="Hong Kong",$G3="香港/Hong Kong"),OR($Q3="Macau",$Q3="Macau, China",$Q3="Taiwan",$Q3="Taiwan, China"),ISBLANK($Y3))</formula>
    </cfRule>
    <cfRule type="expression" priority="119" dxfId="2">
      <formula>AND(OR($G3="香港",$G3="Hong Kong",$G3="香港/Hong Kong"),OR($Q3="澳门",$Q3="中国澳门",$Q3="澳门特别行政区",$Q3="台湾",$Q3="中国台湾"),ISBLANK($Y3))</formula>
    </cfRule>
    <cfRule type="expression" priority="120" dxfId="2">
      <formula>AND(OR($G3="香港",$G3="Hong Kong",$G3="香港/Hong Kong"),OR($Q3="澳門",$Q3="中國澳門",$Q3="澳門特別行政區",$Q3="台灣",$Q3="中國台灣"),ISBLANK($Y3))</formula>
    </cfRule>
    <cfRule type="expression" priority="121" dxfId="2">
      <formula>AND(LEN($Z3)&lt;&gt;0,ISBLANK($Y3))</formula>
    </cfRule>
  </conditionalFormatting>
  <conditionalFormatting sqref="Z3:Z1000">
    <cfRule type="expression" priority="102" dxfId="2">
      <formula>AND(OR(RIGHT($Q3,8)="Province",RIGHT($Q3,4)="City",RIGHT($Q3,6)="County",RIGHT($Q3,8)="District",RIGHT($Q3,8)="Township"),ISBLANK($Z3))</formula>
    </cfRule>
    <cfRule type="expression" priority="103" dxfId="2">
      <formula>AND(OR(RIGHT($Q3,1)="省",RIGHT($Q3,1)="市",RIGHT($Q3,1)="区",RIGHT($Q3,1)="县",RIGHT($Q3,1)="镇",RIGHT($Q3,1)="乡"),ISBLANK($Z3))</formula>
    </cfRule>
    <cfRule type="expression" priority="104" dxfId="2">
      <formula>AND(OR(RIGHT($Q3,1)="省",RIGHT($Q3,1)="市",RIGHT($Q3,1)="區",RIGHT($Q3,1)="縣",RIGHT($Q3,1)="鎮",RIGHT($Q3,1)="鄉"),ISBLANK($Z3))</formula>
    </cfRule>
    <cfRule type="expression" priority="105" dxfId="2">
      <formula>AND(OR($G3="澳门",$G3="澳門",$G3="Macau",$G3="澳門/Macau"),OR($Q3="Hong Kong",$Q3="Hong Kong, China",$Q3="HK",$Q3="HKSAR",$Q3="Taiwan",$Q3="Taiwan, China"),ISBLANK($Z3))</formula>
    </cfRule>
    <cfRule type="expression" priority="106" dxfId="2">
      <formula>AND(OR($G3="澳门",$G3="澳門",$G3="Macau",$G3="澳門/Macau"),OR($Q3="香港",$Q3="中国香港",$Q3="香港特别行政区",$Q3="台湾",$Q3="中国台湾"),ISBLANK($Z3))</formula>
    </cfRule>
    <cfRule type="expression" priority="107" dxfId="2">
      <formula>AND(OR($G3="澳门",$G3="澳門",$G3="Macau",$G3="澳門/Macau"),OR($Q3="香港",$Q3="中國香港",$Q3="香港特別行政區",$Q3="台灣",$Q3="中國台灣"),ISBLANK($Z3))</formula>
    </cfRule>
    <cfRule type="expression" priority="108" dxfId="2">
      <formula>AND(OR($G3="香港",$G3="Hong Kong",$G3="香港/Hong Kong"),OR($Q3="Macau",$Q3="Macau, China",$Q3="Taiwan",$Q3="Taiwan, China"),ISBLANK($Z3))</formula>
    </cfRule>
    <cfRule type="expression" priority="109" dxfId="2">
      <formula>AND(OR($G3="香港",$G3="Hong Kong",$G3="香港/Hong Kong"),OR($Q3="澳门",$Q3="中国澳门",$Q3="澳门特别行政区",$Q3="台湾",$Q3="中国台湾"),ISBLANK($Z3))</formula>
    </cfRule>
    <cfRule type="expression" priority="110" dxfId="2">
      <formula>AND(OR($G3="香港",$G3="Hong Kong",$G3="香港/Hong Kong"),OR($Q3="澳門",$Q3="中國澳門",$Q3="澳門特別行政區",$Q3="台灣",$Q3="中國台灣"),ISBLANK($Z3))</formula>
    </cfRule>
    <cfRule type="expression" priority="111" dxfId="2">
      <formula>AND(LEN($Y3)&lt;&gt;0,ISBLANK($Z3))</formula>
    </cfRule>
  </conditionalFormatting>
  <conditionalFormatting sqref="AA3:AA1000">
    <cfRule type="expression" priority="92" dxfId="2">
      <formula>AND(OR(RIGHT($Q3,8)="Province",RIGHT($Q3,4)="City",RIGHT($Q3,6)="County",RIGHT($Q3,8)="District",RIGHT($Q3,8)="Township"),ISBLANK($AA3))</formula>
    </cfRule>
    <cfRule type="expression" priority="93" dxfId="2">
      <formula>AND(OR(RIGHT($Q3,1)="省",RIGHT($Q3,1)="市",RIGHT($Q3,1)="区",RIGHT($Q3,1)="县",RIGHT($Q3,1)="镇",RIGHT($Q3,1)="乡"),ISBLANK($AA3))</formula>
    </cfRule>
    <cfRule type="expression" priority="94" dxfId="2">
      <formula>AND(OR(RIGHT($Q3,1)="省",RIGHT($Q3,1)="市",RIGHT($Q3,1)="區",RIGHT($Q3,1)="縣",RIGHT($Q3,1)="鎮",RIGHT($Q3,1)="鄉"),ISBLANK($AA3))</formula>
    </cfRule>
    <cfRule type="expression" priority="95" dxfId="2">
      <formula>AND(OR($G3="澳门",$G3="澳門",$G3="Macau",$G3="澳門/Macau"),OR($Q3="Hong Kong",$Q3="Hong Kong, China",$Q3="HK",$Q3="HKSAR",$Q3="Taiwan",$Q3="Taiwan, China"),ISBLANK($AA3))</formula>
    </cfRule>
    <cfRule type="expression" priority="96" dxfId="2">
      <formula>AND(OR($G3="澳门",$G3="澳門",$G3="Macau",$G3="澳門/Macau"),OR($Q3="香港",$Q3="中国香港",$Q3="香港特别行政区",$Q3="台湾",$Q3="中国台湾"),ISBLANK($AA3))</formula>
    </cfRule>
    <cfRule type="expression" priority="97" dxfId="2">
      <formula>AND(OR($G3="澳门",$G3="澳門",$G3="Macau",$G3="澳門/Macau"),OR($Q3="香港",$Q3="中國香港",$Q3="香港特別行政區",$Q3="台灣",$Q3="中國台灣"),ISBLANK($AA3))</formula>
    </cfRule>
    <cfRule type="expression" priority="98" dxfId="2">
      <formula>AND(OR($G3="香港",$G3="Hong Kong",$G3="香港/Hong Kong"),OR($Q3="Macau",$Q3="Macau, China",$Q3="Taiwan",$Q3="Taiwan, China"),ISBLANK($AA3))</formula>
    </cfRule>
    <cfRule type="expression" priority="99" dxfId="2">
      <formula>AND(OR($G3="香港",$G3="Hong Kong",$G3="香港/Hong Kong"),OR($Q3="澳门",$Q3="中国澳门",$Q3="澳门特别行政区",$Q3="台湾",$Q3="中国台湾"),ISBLANK($AA3))</formula>
    </cfRule>
    <cfRule type="expression" priority="100" dxfId="2">
      <formula>AND(OR($G3="香港",$G3="Hong Kong",$G3="香港/Hong Kong"),OR($Q3="澳門",$Q3="中國澳門",$Q3="澳門特別行政區",$Q3="台灣",$Q3="中國台灣"),ISBLANK($AA3))</formula>
    </cfRule>
    <cfRule type="expression" priority="101" dxfId="2">
      <formula>AND(LEN($AB3)&lt;&gt;0,ISBLANK($AA3))</formula>
    </cfRule>
  </conditionalFormatting>
  <conditionalFormatting sqref="AB3:AB1000">
    <cfRule type="expression" priority="82" dxfId="2">
      <formula>AND(OR(RIGHT($Q3,8)="Province",RIGHT($Q3,4)="City",RIGHT($Q3,6)="County",RIGHT($Q3,8)="District",RIGHT($Q3,8)="Township"),ISBLANK($AB3))</formula>
    </cfRule>
    <cfRule type="expression" priority="83" dxfId="2">
      <formula>AND(OR(RIGHT($Q3,1)="省",RIGHT($Q3,1)="市",RIGHT($Q3,1)="区",RIGHT($Q3,1)="县",RIGHT($Q3,1)="镇",RIGHT($Q3,1)="乡"),ISBLANK($AB3))</formula>
    </cfRule>
    <cfRule type="expression" priority="84" dxfId="2">
      <formula>AND(OR(RIGHT($Q3,1)="省",RIGHT($Q3,1)="市",RIGHT($Q3,1)="區",RIGHT($Q3,1)="縣",RIGHT($Q3,1)="鎮",RIGHT($Q3,1)="鄉"),ISBLANK($AB3))</formula>
    </cfRule>
    <cfRule type="expression" priority="85" dxfId="2">
      <formula>AND(OR($G3="澳门",$G3="澳門",$G3="Macau",$G3="澳門/Macau"),OR($Q3="Hong Kong",$Q3="Hong Kong, China",$Q3="HK",$Q3="HKSAR",$Q3="Taiwan",$Q3="Taiwan, China"),ISBLANK($AB3))</formula>
    </cfRule>
    <cfRule type="expression" priority="86" dxfId="2">
      <formula>AND(OR($G3="澳门",$G3="澳門",$G3="Macau",$G3="澳門/Macau"),OR($Q3="香港",$Q3="中国香港",$Q3="香港特别行政区",$Q3="台湾",$Q3="中国台湾"),ISBLANK($AB3))</formula>
    </cfRule>
    <cfRule type="expression" priority="87" dxfId="2">
      <formula>AND(OR($G3="澳门",$G3="澳門",$G3="Macau",$G3="澳門/Macau"),OR($Q3="香港",$Q3="中國香港",$Q3="香港特別行政區",$Q3="台灣",$Q3="中國台灣"),ISBLANK($AB3))</formula>
    </cfRule>
    <cfRule type="expression" priority="88" dxfId="2">
      <formula>AND(OR($G3="香港",$G3="Hong Kong",$G3="香港/Hong Kong"),OR($Q3="Macau",$Q3="Macau, China",$Q3="Taiwan",$Q3="Taiwan, China"),ISBLANK($AB3))</formula>
    </cfRule>
    <cfRule type="expression" priority="89" dxfId="2">
      <formula>AND(OR($G3="香港",$G3="Hong Kong",$G3="香港/Hong Kong"),OR($Q3="澳门",$Q3="中国澳门",$Q3="澳门特别行政区",$Q3="台湾",$Q3="中国台湾"),ISBLANK($AB3))</formula>
    </cfRule>
    <cfRule type="expression" priority="90" dxfId="2">
      <formula>AND(OR($G3="香港",$G3="Hong Kong",$G3="香港/Hong Kong"),OR($Q3="澳門",$Q3="中國澳門",$Q3="澳門特別行政區",$Q3="台灣",$Q3="中國台灣"),ISBLANK($AB3))</formula>
    </cfRule>
    <cfRule type="expression" priority="91" dxfId="2">
      <formula>AND(LEN($AA3)&lt;&gt;0,ISBLANK($AB3))</formula>
    </cfRule>
  </conditionalFormatting>
  <conditionalFormatting sqref="AC3:AC1000">
    <cfRule type="expression" priority="73" dxfId="2">
      <formula>AND(OR(RIGHT($Q3,8)="Province",RIGHT($Q3,4)="City",RIGHT($Q3,6)="County",RIGHT($Q3,8)="District",RIGHT($Q3,8)="Township"),ISBLANK($AC3))</formula>
    </cfRule>
    <cfRule type="expression" priority="74" dxfId="2">
      <formula>AND(OR(RIGHT($Q3,1)="省",RIGHT($Q3,1)="市",RIGHT($Q3,1)="区",RIGHT($Q3,1)="县",RIGHT($Q3,1)="镇",RIGHT($Q3,1)="乡"),ISBLANK($AC3))</formula>
    </cfRule>
    <cfRule type="expression" priority="75" dxfId="2">
      <formula>AND(OR(RIGHT($Q3,1)="省",RIGHT($Q3,1)="市",RIGHT($Q3,1)="區",RIGHT($Q3,1)="縣",RIGHT($Q3,1)="鎮",RIGHT($Q3,1)="鄉"),ISBLANK($AC3))</formula>
    </cfRule>
    <cfRule type="expression" priority="76" dxfId="2">
      <formula>AND(OR($G3="澳门",$G3="澳門",$G3="Macau",$G3="澳門/Macau"),OR($Q3="Hong Kong",$Q3="Hong Kong, China",$Q3="HK",$Q3="HKSAR",$Q3="Taiwan",$Q3="Taiwan, China"),ISBLANK($AC3))</formula>
    </cfRule>
    <cfRule type="expression" priority="77" dxfId="2">
      <formula>AND(OR($G3="澳门",$G3="澳門",$G3="Macau",$G3="澳門/Macau"),OR($Q3="香港",$Q3="中国香港",$Q3="香港特别行政区",$Q3="台湾",$Q3="中国台湾"),ISBLANK($AC3))</formula>
    </cfRule>
    <cfRule type="expression" priority="78" dxfId="2">
      <formula>AND(OR($G3="澳门",$G3="澳門",$G3="Macau",$G3="澳門/Macau"),OR($Q3="香港",$Q3="中國香港",$Q3="香港特別行政區",$Q3="台灣",$Q3="中國台灣"),ISBLANK($AC3))</formula>
    </cfRule>
    <cfRule type="expression" priority="79" dxfId="2">
      <formula>AND(OR($G3="香港",$G3="Hong Kong",$G3="香港/Hong Kong"),OR($Q3="Macau",$Q3="Macau, China",$Q3="Taiwan",$Q3="Taiwan, China"),ISBLANK($AC3))</formula>
    </cfRule>
    <cfRule type="expression" priority="80" dxfId="2">
      <formula>AND(OR($G3="香港",$G3="Hong Kong",$G3="香港/Hong Kong"),OR($Q3="澳门",$Q3="中国澳门",$Q3="澳门特别行政区",$Q3="台湾",$Q3="中国台湾"),ISBLANK($AC3))</formula>
    </cfRule>
    <cfRule type="expression" priority="81" dxfId="2">
      <formula>AND(OR($G3="香港",$G3="Hong Kong",$G3="香港/Hong Kong"),OR($Q3="澳門",$Q3="中國澳門",$Q3="澳門特別行政區",$Q3="台灣",$Q3="中國台灣"),ISBLANK($AC3))</formula>
    </cfRule>
  </conditionalFormatting>
  <conditionalFormatting sqref="AD4:AD1000">
    <cfRule type="expression" priority="56" dxfId="1">
      <formula>AND(LEN($A3)&lt;&gt;0,LEN($A4)&lt;&gt;0,$A3=$A4)</formula>
    </cfRule>
  </conditionalFormatting>
  <conditionalFormatting sqref="AE4:AE1000">
    <cfRule type="expression" priority="55" dxfId="1">
      <formula>AND(LEN($A3)&lt;&gt;0,LEN($A4)&lt;&gt;0,$A3=$A4)</formula>
    </cfRule>
  </conditionalFormatting>
  <conditionalFormatting sqref="AF4:AF1000">
    <cfRule type="expression" priority="21" dxfId="1">
      <formula>AND(LEN($A3)&lt;&gt;0,LEN($A4)&lt;&gt;0,$A3=$A4)</formula>
    </cfRule>
  </conditionalFormatting>
  <conditionalFormatting sqref="AG4:AG1000">
    <cfRule type="expression" priority="54" dxfId="1">
      <formula>AND(LEN($A3)&lt;&gt;0,LEN($A4)&lt;&gt;0,$A3=$A4)</formula>
    </cfRule>
  </conditionalFormatting>
  <conditionalFormatting sqref="AH4:AH1000">
    <cfRule type="expression" priority="53" dxfId="1">
      <formula>AND(LEN($A3)&lt;&gt;0,LEN($A4)&lt;&gt;0,$A3=$A4)</formula>
    </cfRule>
  </conditionalFormatting>
  <conditionalFormatting sqref="AI3:AI1000">
    <cfRule type="expression" priority="176" dxfId="2">
      <formula>AND(OR(RIGHT($Q3,8)="Province",RIGHT($Q3,4)="City",RIGHT($Q3,6)="County",RIGHT($Q3,8)="District",RIGHT($Q3,8)="Township"),ISBLANK($AI3),ISBLANK($AJ3))</formula>
    </cfRule>
    <cfRule type="expression" priority="177" dxfId="2">
      <formula>AND(OR(RIGHT($Q3,1)="省",RIGHT($Q3,1)="市",RIGHT($Q3,1)="区",RIGHT($Q3,1)="县",RIGHT($Q3,1)="镇",RIGHT($Q3,1)="乡"),ISBLANK($AI3),ISBLANK($AJ3))</formula>
    </cfRule>
    <cfRule type="expression" priority="178" dxfId="2">
      <formula>AND(OR(RIGHT($Q3,1)="省",RIGHT($Q3,1)="市",RIGHT($Q3,1)="區",RIGHT($Q3,1)="縣",RIGHT($Q3,1)="鎮",RIGHT($Q3,1)="鄉"),ISBLANK($AI3),ISBLANK($AJ3))</formula>
    </cfRule>
    <cfRule type="expression" priority="179" dxfId="2">
      <formula>AND(OR($G3="澳门",$G3="澳門",$G3="Macau",$G3="澳門/Macau"),OR($Q3="香港",$Q3="中國香港",$Q3="香港特別行政區",$Q3="台灣",$Q3="中國台灣"),ISBLANK($AI3),ISBLANK($AJ3))</formula>
    </cfRule>
    <cfRule type="expression" priority="180" dxfId="2">
      <formula>AND(OR($G3="澳门",$G3="澳門",$G3="Macau",$G3="澳門/Macau"),OR($Q3="香港",$Q3="中国香港",$Q3="香港特别行政区",$Q3="台湾",$Q3="中国台湾"),ISBLANK($AI3),ISBLANK($AJ3))</formula>
    </cfRule>
    <cfRule type="expression" priority="181" dxfId="2">
      <formula>AND(OR($G3="澳门",$G3="澳門",$G3="Macau",$G3="澳門/Macau"),OR($Q3="Hong Kong",$Q3="Hong Kong, China",$Q3="HK",$Q3="HKSAR",$Q3="Taiwan",$Q3="Taiwan, China"),ISBLANK($AI3),ISBLANK($AJ3))</formula>
    </cfRule>
    <cfRule type="expression" priority="182" dxfId="2">
      <formula>AND(OR($G3="香港",$G3="Hong Kong",$G3="香港/Hong Kong"),OR($Q3="Macau",$Q3="Macau, China",$Q3="Taiwan",$Q3="Taiwan, China"),ISBLANK($AI3),ISBLANK($AJ3))</formula>
    </cfRule>
    <cfRule type="expression" priority="183" dxfId="2">
      <formula>AND(OR($G3="香港",$G3="Hong Kong",$G3="香港/Hong Kong"),OR($Q3="澳门",$Q3="中国澳门",$Q3="澳门特别行政区",$Q3="台湾",$Q3="中国台湾"),ISBLANK($AI3),ISBLANK($AJ3))</formula>
    </cfRule>
    <cfRule type="expression" priority="184" dxfId="2">
      <formula>AND(OR($G3="香港",$G3="Hong Kong",$G3="香港/Hong Kong"),OR($Q3="澳門",$Q3="中國澳門",$Q3="澳門特別行政區",$Q3="台灣",$Q3="中國台灣"),ISBLANK($AI3),ISBLANK($AJ3))</formula>
    </cfRule>
  </conditionalFormatting>
  <conditionalFormatting sqref="AI4:AI1000">
    <cfRule type="expression" priority="175" dxfId="1">
      <formula>AND(LEN($A3)&lt;&gt;0,LEN($A4)&lt;&gt;0,$A3=$A4)</formula>
    </cfRule>
  </conditionalFormatting>
  <conditionalFormatting sqref="AJ3:AJ1000">
    <cfRule type="expression" priority="49" dxfId="1">
      <formula>AND(OR($AI3="寄付現結/Pay by Sender",$AI3="寄付现结",$AI3="寄付現結",$AI3="Pay by Sender"),COUNTBLANK($AJ$3)=1)</formula>
    </cfRule>
    <cfRule type="expression" priority="156" dxfId="2">
      <formula>AND(OR(RIGHT($Q3,1)="省",RIGHT($Q3,1)="市",RIGHT($Q3,1)="區",RIGHT($Q3,1)="縣",RIGHT($Q3,1)="鎮",RIGHT($Q3,1)="鄉"),ISBLANK($AI3),ISBLANK($AJ3))</formula>
    </cfRule>
    <cfRule type="expression" priority="157" dxfId="2">
      <formula>AND(OR(RIGHT($Q3,1)="省",RIGHT($Q3,1)="市",RIGHT($Q3,1)="区",RIGHT($Q3,1)="县",RIGHT($Q3,1)="镇",RIGHT($Q3,1)="乡"),ISBLANK($AI3),ISBLANK($AJ3))</formula>
    </cfRule>
    <cfRule type="expression" priority="158" dxfId="2">
      <formula>AND(OR(RIGHT($Q3,8)="Province",RIGHT($Q3,4)="City",RIGHT($Q3,6)="County",RIGHT($Q3,8)="District",RIGHT($Q3,8)="Township"),ISBLANK($AI3),ISBLANK($AJ3))</formula>
    </cfRule>
    <cfRule type="expression" priority="159" dxfId="2">
      <formula>AND(OR($G3="澳门",$G3="澳門",$G3="Macau",$G3="澳門/Macau"),OR($Q3="Hong Kong",$Q3="Hong Kong, China",$Q3="HK",$Q3="HKSAR",$Q3="Taiwan",$Q3="Taiwan, China"),ISBLANK($AI3),ISBLANK($AJ3))</formula>
    </cfRule>
    <cfRule type="expression" priority="160" dxfId="2">
      <formula>AND(OR($G3="澳门",$G3="澳門",$G3="Macau",$G3="澳門/Macau"),OR($Q3="香港",$Q3="中国香港",$Q3="香港特别行政区",$Q3="台湾",$Q3="中国台湾"),ISBLANK($AI3),ISBLANK($AJ3))</formula>
    </cfRule>
    <cfRule type="expression" priority="161" dxfId="2">
      <formula>AND(OR($G3="澳门",$G3="澳門",$G3="Macau",$G3="澳門/Macau"),OR($Q3="香港",$Q3="中國香港",$Q3="香港特別行政區",$Q3="台灣",$Q3="中國台灣"),ISBLANK($AI3),ISBLANK($AJ3))</formula>
    </cfRule>
    <cfRule type="expression" priority="162" dxfId="2">
      <formula>AND(OR($G3="香港",$G3="Hong Kong",$G3="香港/Hong Kong"),OR($Q3="Macau",$Q3="Macau, China",$Q3="Taiwan",$Q3="Taiwan, China"),ISBLANK($AI3),ISBLANK($AJ3))</formula>
    </cfRule>
    <cfRule type="expression" priority="163" dxfId="2">
      <formula>AND(OR($G3="香港",$G3="Hong Kong",$G3="香港/Hong Kong"),OR($Q3="澳门",$Q3="中国澳门",$Q3="澳门特别行政区",$Q3="台湾",$Q3="中国台湾"),ISBLANK($AI3),ISBLANK($AJ3))</formula>
    </cfRule>
    <cfRule type="expression" priority="164" dxfId="2">
      <formula>AND(OR($G3="香港",$G3="Hong Kong",$G3="香港/Hong Kong"),OR($Q3="澳門",$Q3="中國澳門",$Q3="澳門特別行政區",$Q3="台灣",$Q3="中國台灣"),ISBLANK($AI3),ISBLANK($AJ3))</formula>
    </cfRule>
    <cfRule type="expression" priority="165" dxfId="2">
      <formula>AND(OR(RIGHT($Q3,1)="省",RIGHT($Q3,1)="市",RIGHT($Q3,1)="區",RIGHT($Q3,1)="縣",RIGHT($Q3,1)="鎮",RIGHT($Q3,1)="鄉"),OR($AI3="寄付月結/Pay by Sender (Credit Account)",$AI3="寄付月结",$AI3="寄付月結",$AI3="Pay by Sender (Credit Account)"),ISBLANK($AJ3))</formula>
    </cfRule>
    <cfRule type="expression" priority="166" dxfId="2">
      <formula>AND(OR(RIGHT($Q3,1)="省",RIGHT($Q3,1)="市",RIGHT($Q3,1)="区",RIGHT($Q3,1)="县",RIGHT($Q3,1)="镇",RIGHT($Q3,1)="乡"),OR($AI3="寄付月結/Pay by Sender (Credit Account)",$AI3="寄付月结",$AI3="寄付月結",$AI3="Pay by Sender (Credit Account)"),ISBLANK($AJ3))</formula>
    </cfRule>
    <cfRule type="expression" priority="167" dxfId="2">
      <formula>AND(OR(RIGHT($Q3,8)="Province",RIGHT($Q3,4)="City",RIGHT($Q3,6)="County",RIGHT($Q3,8)="District",RIGHT($Q3,8)="Township"),OR($AI3="寄付月結/Pay by Sender (Credit Account)",$AI3="寄付月结",$AI3="寄付月結",$AI3="Pay by Sender (Credit Account)"),ISBLANK($AJ3))</formula>
    </cfRule>
    <cfRule type="expression" priority="168" dxfId="2">
      <formula>AND(OR($G3="澳门",$G3="澳門",$G3="Macau",$G3="澳門/Macau"),OR($Q3="Hong Kong",$Q3="Hong Kong, China",$Q3="HK",$Q3="HKSAR",$Q3="Taiwan",$Q3="Taiwan, China"),OR($AI3="寄付月結/Pay by Sender (Credit Account)",$AI3="寄付月结",$AI3="寄付月結",$AI3="Pay by Sender (Credit Account)"),ISBLANK($AJ3))</formula>
    </cfRule>
    <cfRule type="expression" priority="169" dxfId="2">
      <formula>AND(OR($G3="澳门",$G3="澳門",$G3="Macau",$G3="澳門/Macau"),OR($Q3="香港",$Q3="中国香港",$Q3="香港特别行政区",$Q3="台湾",$Q3="中国台湾"),OR($AI3="寄付月結/Pay by Sender (Credit Account)",$AI3="寄付月结",$AI3="寄付月結",$AI3="Pay by Sender (Credit Account)"),ISBLANK($AJ3))</formula>
    </cfRule>
    <cfRule type="expression" priority="170" dxfId="2">
      <formula>AND(OR($G3="澳门",$G3="澳門",$G3="Macau",$G3="澳門/Macau"),OR($Q3="香港",$Q3="中國香港",$Q3="香港特別行政區",$Q3="台灣",$Q3="中國台灣"),OR($AI3="寄付月結/Pay by Sender (Credit Account)",$AI3="寄付月结",$AI3="寄付月結",$AI3="Pay by Sender (Credit Account)"),ISBLANK($AJ3))</formula>
    </cfRule>
    <cfRule type="expression" priority="171" dxfId="2">
      <formula>AND(OR($G3="香港",$G3="Hong Kong",$G3="香港/Hong Kong"),OR($Q3="Macau",$Q3="Macau, China",$Q3="Taiwan",$Q3="Taiwan, China"),OR($AI3="寄付月結/Pay by Sender (Credit Account)",$AI3="寄付月结",$AI3="寄付月結",$AI3="Pay by Sender (Credit Account)"),ISBLANK($AJ3))</formula>
    </cfRule>
    <cfRule type="expression" priority="172" dxfId="2">
      <formula>AND(OR($G3="香港",$G3="Hong Kong",$G3="香港/Hong Kong"),OR($Q3="澳门",$Q3="中国澳门",$Q3="澳门特别行政区",$Q3="台湾",$Q3="中国台湾"),OR($AI3="寄付月結/Pay by Sender (Credit Account)",$AI3="寄付月结",$AI3="寄付月結",$AI3="Pay by Sender (Credit Account)"),ISBLANK($AJ3))</formula>
    </cfRule>
    <cfRule type="expression" priority="173" dxfId="2">
      <formula>AND(OR($G3="香港",$G3="Hong Kong",$G3="香港/Hong Kong"),OR($Q3="澳門",$Q3="中國澳門",$Q3="澳門特別行政區",$Q3="台灣",$Q3="中國台灣"),OR($AI3="寄付月結/Pay by Sender (Credit Account)",$AI3="寄付月结",$AI3="寄付月結",$AI3="Pay by Sender (Credit Account)"),ISBLANK($AJ3))</formula>
    </cfRule>
    <cfRule type="expression" priority="174" dxfId="1">
      <formula>AND(OR($AI3="到付/Pay by Recipient",$AI3="到付",$AI3="Pay by Recipient"),COUNTBLANK($AJ$3)=1)</formula>
    </cfRule>
  </conditionalFormatting>
  <conditionalFormatting sqref="AJ4:AJ1000">
    <cfRule type="expression" priority="155" dxfId="1">
      <formula>AND(LEN($A3)&lt;&gt;0,LEN($A4)&lt;&gt;0,$A3=$A4)</formula>
    </cfRule>
  </conditionalFormatting>
  <conditionalFormatting sqref="AK3:AK1000">
    <cfRule type="expression" priority="188" dxfId="4">
      <formula>AND($AK3&lt;TODAY(),COUNTBLANK($AK3)=0)</formula>
    </cfRule>
    <cfRule type="expression" priority="189" dxfId="4">
      <formula>AND($AK3&gt;TODAY()+2,COUNTBLANK($AK3)=0)</formula>
    </cfRule>
    <cfRule type="expression" priority="190" dxfId="2">
      <formula>AND(COUNTBLANK($AK3)=1,COUNTBLANK($AL3)=0)</formula>
    </cfRule>
  </conditionalFormatting>
  <conditionalFormatting sqref="AK4:AK1000">
    <cfRule type="expression" priority="187" dxfId="1">
      <formula>AND(LEN($A3)&lt;&gt;0,LEN($A4)&lt;&gt;0,$A3=$A4)</formula>
    </cfRule>
  </conditionalFormatting>
  <conditionalFormatting sqref="AL3:AL1000">
    <cfRule type="expression" priority="186" dxfId="2">
      <formula>AND(COUNTBLANK($AK3)=0,COUNTBLANK($AL3)=1)</formula>
    </cfRule>
  </conditionalFormatting>
  <conditionalFormatting sqref="AL4:AL100">
    <cfRule type="expression" priority="185" dxfId="1">
      <formula>AND(LEN($A3)&lt;&gt;0,LEN($A4)&lt;&gt;0,$A3=$A4)</formula>
    </cfRule>
  </conditionalFormatting>
  <conditionalFormatting sqref="AM4:AM1000">
    <cfRule type="expression" priority="72" dxfId="1">
      <formula>AND(LEN($A3)&lt;&gt;0,LEN($A4)&lt;&gt;0,$A3=$A4)</formula>
    </cfRule>
  </conditionalFormatting>
  <conditionalFormatting sqref="AN4:AN1000">
    <cfRule type="expression" priority="52" dxfId="1">
      <formula>AND(LEN($A3)&lt;&gt;0,LEN($A4)&lt;&gt;0,$A3=$A4)</formula>
    </cfRule>
  </conditionalFormatting>
  <conditionalFormatting sqref="AO4:AO1000">
    <cfRule type="expression" priority="51" dxfId="1">
      <formula>AND(LEN($A3)&lt;&gt;0,LEN($A4)&lt;&gt;0,$A3=$A4)</formula>
    </cfRule>
  </conditionalFormatting>
  <conditionalFormatting sqref="AP3:AP1000">
    <cfRule type="expression" priority="192" dxfId="2">
      <formula>AND(COUNT(SEARCH(4,AO3))&lt;&gt;0,ISBLANK($AP3))</formula>
    </cfRule>
  </conditionalFormatting>
  <conditionalFormatting sqref="AP4:AP1000">
    <cfRule type="expression" priority="191" dxfId="1">
      <formula>AND(LEN($A3)&lt;&gt;0,LEN($A4)&lt;&gt;0,$A3=$A4)</formula>
    </cfRule>
  </conditionalFormatting>
  <conditionalFormatting sqref="AQ4:AQ1000">
    <cfRule type="expression" priority="50" dxfId="1">
      <formula>AND(LEN($A3)&lt;&gt;0,LEN($A4)&lt;&gt;0,$A3=$A4)</formula>
    </cfRule>
  </conditionalFormatting>
  <conditionalFormatting sqref="AR3:AR1000">
    <cfRule type="expression" priority="195" dxfId="2">
      <formula>AND(COUNTBLANK($AR3)=1,COUNTBLANK($AS3)=0)</formula>
    </cfRule>
  </conditionalFormatting>
  <conditionalFormatting sqref="AR4:AR1000">
    <cfRule type="expression" priority="194" dxfId="1">
      <formula>AND(LEN($A3)&lt;&gt;0,LEN($A4)&lt;&gt;0,$A3=$A4)</formula>
    </cfRule>
  </conditionalFormatting>
  <conditionalFormatting sqref="AS3:AS1000">
    <cfRule type="expression" priority="196" dxfId="2">
      <formula>AND(COUNTBLANK($AR3)=0,COUNTBLANK($AS3)=1)</formula>
    </cfRule>
  </conditionalFormatting>
  <conditionalFormatting sqref="AS4:AS1000">
    <cfRule type="expression" priority="193" dxfId="1">
      <formula>AND(LEN($A3)&lt;&gt;0,LEN($A4)&lt;&gt;0,$A3=$A4)</formula>
    </cfRule>
  </conditionalFormatting>
  <conditionalFormatting sqref="AT3:AT1000">
    <cfRule type="expression" priority="30" dxfId="2">
      <formula>AND(OR($Q3="Macau",$Q3="Macau,China"),($AD3&gt;=20),ISBLANK($AT3))</formula>
    </cfRule>
    <cfRule type="expression" priority="31" dxfId="2">
      <formula>AND(OR($Q3="澳门",$Q3="中国澳门",$Q3="澳门特别行政区"),($AD3&gt;=20),ISBLANK($AT3))</formula>
    </cfRule>
    <cfRule type="expression" priority="32" dxfId="2">
      <formula>AND(OR($Q3="澳門",$Q3="中國澳門",$Q3="澳門特別行政區"),($AD3&gt;=20),ISBLANK($AT3))</formula>
    </cfRule>
    <cfRule type="expression" priority="33" dxfId="2">
      <formula>AND(OR($Q3="Hong Kong",$Q3="Hong Kong,China",$Q3="HK",$Q3="HKSAR"),($AD3&gt;=20),ISBLANK($AT3))</formula>
    </cfRule>
    <cfRule type="expression" priority="34" dxfId="2">
      <formula>AND(OR($Q3="香港",$Q3="中国香港",$Q3="香港特别行政区"),($AD3&gt;=20),ISBLANK($AT3))</formula>
    </cfRule>
    <cfRule type="expression" priority="36" dxfId="2">
      <formula>AND(OR($Q3="香港",$Q3="中國香港",$Q3="香港特別行政區"),($AD3&gt;=20),ISBLANK($AT3))</formula>
    </cfRule>
  </conditionalFormatting>
  <conditionalFormatting sqref="AT4:AT1000">
    <cfRule type="expression" priority="35" dxfId="1">
      <formula>AND(LEN($A3)&lt;&gt;0,LEN($A4)&lt;&gt;0,$A3=$A4)</formula>
    </cfRule>
  </conditionalFormatting>
  <conditionalFormatting sqref="AU3:AU1000">
    <cfRule type="expression" priority="23" dxfId="1">
      <formula>COUNT(SEARCH("送貨上樓（無需行樓梯）/Upstairs Delivery (no climb stairs required)",$AT3))&lt;&gt;0</formula>
    </cfRule>
    <cfRule type="expression" priority="24" dxfId="2">
      <formula>AND(OR($AT3="送貨上樓（需行樓梯）",$AT3="Upstairs Delivery (climb stairs required)",$AT3="送貨上樓（需行樓梯）/Upstairs Delivery (climb stairs required)"),ISBLANK($AU3))</formula>
    </cfRule>
    <cfRule type="expression" priority="25" dxfId="1">
      <formula>COUNT(SEARCH("自提點/樓下自取/Self-pickup/Ground floor pickup",$AT3))&lt;&gt;0</formula>
    </cfRule>
  </conditionalFormatting>
  <conditionalFormatting sqref="AU4:AU1000">
    <cfRule type="expression" priority="22" dxfId="1">
      <formula>AND(LEN($A3)&lt;&gt;0,LEN($A4)&lt;&gt;0,$A3=$A4)</formula>
    </cfRule>
  </conditionalFormatting>
  <conditionalFormatting sqref="AV3:AV1000">
    <cfRule type="expression" priority="8" dxfId="2">
      <formula>AND($AW3&lt;&gt;"",$AV3="")</formula>
    </cfRule>
    <cfRule type="expression" priority="6" dxfId="2">
      <formula>AND($AX3&lt;&gt;"",$AV3="")</formula>
    </cfRule>
  </conditionalFormatting>
  <conditionalFormatting sqref="AV5:AV1000">
    <cfRule type="expression" priority="15" dxfId="1">
      <formula>AND(LEN($A4)&lt;&gt;0,LEN($A5)&lt;&gt;0,$A4=$A5)</formula>
    </cfRule>
  </conditionalFormatting>
  <conditionalFormatting sqref="AW3:AW1000">
    <cfRule type="expression" priority="11" dxfId="1">
      <formula>OR($AV3="不選擇",$AV3="不选择",$AV3="No card")</formula>
    </cfRule>
    <cfRule type="expression" priority="10" dxfId="2">
      <formula>AND($AV3&lt;&gt;"",$AW3="",NOT(OR($AV3="No card",$AV3="不选择",$AV3="不選擇")))</formula>
    </cfRule>
    <cfRule type="expression" priority="5" dxfId="2">
      <formula>AND($AX3&lt;&gt;"",$AW3="")</formula>
    </cfRule>
  </conditionalFormatting>
  <conditionalFormatting sqref="AW4:AW1000">
    <cfRule type="expression" priority="14" dxfId="1">
      <formula>AND(LEN($A3)&lt;&gt;0,LEN($A4)&lt;&gt;0,$A3=$A4)</formula>
    </cfRule>
  </conditionalFormatting>
  <conditionalFormatting sqref="AX3:AX1000">
    <cfRule type="expression" priority="12" dxfId="1">
      <formula>OR($AV3="不選擇",$AV3="不选择",$AV3="No card")</formula>
    </cfRule>
    <cfRule type="expression" priority="9" dxfId="2">
      <formula>AND($AV3&lt;&gt;"",$AX3="",NOT(OR($AV3="No card",$AV3="不选择",$AV3="不選擇")))</formula>
    </cfRule>
    <cfRule type="expression" priority="7" dxfId="2">
      <formula>AND($AW3&lt;&gt;"",$AX3="")</formula>
    </cfRule>
  </conditionalFormatting>
  <conditionalFormatting sqref="AX4:AX1000">
    <cfRule type="expression" priority="13" dxfId="1">
      <formula>AND(LEN($A3)&lt;&gt;0,LEN($A4)&lt;&gt;0,$A3=$A4)</formula>
    </cfRule>
  </conditionalFormatting>
  <conditionalFormatting sqref="BA4:BA1000">
    <cfRule type="expression" priority="1" dxfId="1">
      <formula>AND(LEN($A3)&lt;&gt;0,LEN($A4)&lt;&gt;0,$A3=$A4)</formula>
    </cfRule>
  </conditionalFormatting>
  <conditionalFormatting sqref="AY3:AY5 AY7:AY1000">
    <cfRule type="expression" priority="20" dxfId="4">
      <formula>AND($AY3&lt;TODAY(),COUNTBLANK($AY3)=0)</formula>
    </cfRule>
    <cfRule type="expression" priority="19" dxfId="4">
      <formula>AND($AZ3&lt;&gt;"",$AY3="")</formula>
    </cfRule>
  </conditionalFormatting>
  <conditionalFormatting sqref="AZ3:AZ5 AZ7:AZ1000">
    <cfRule type="expression" priority="17" dxfId="2">
      <formula>AND($AY3&lt;&gt;"",$AZ3="")</formula>
    </cfRule>
  </conditionalFormatting>
  <conditionalFormatting sqref="AY4:AY5 AY7:AY1000">
    <cfRule type="expression" priority="18" dxfId="1">
      <formula>AND(LEN($A3)&lt;&gt;0,LEN($A4)&lt;&gt;0,$A3=$A4)</formula>
    </cfRule>
  </conditionalFormatting>
  <conditionalFormatting sqref="AZ4:AZ5 AZ7:AZ1000">
    <cfRule type="expression" priority="16" dxfId="1">
      <formula>AND(LEN($A3)&lt;&gt;0,LEN($A4)&lt;&gt;0,$A3=$A4)</formula>
    </cfRule>
  </conditionalFormatting>
  <dataValidations count="15">
    <dataValidation sqref="AX1 AX3:AX1048576" showDropDown="0" showInputMessage="1" showErrorMessage="1" allowBlank="1" type="list">
      <formula1>'元素 Info'!$O$2:$O$7</formula1>
    </dataValidation>
    <dataValidation sqref="C1 C3:C1048547" showDropDown="0" showInputMessage="1" showErrorMessage="1" allowBlank="1" type="list">
      <formula1>'元素 Info'!$B$2:$B$4</formula1>
    </dataValidation>
    <dataValidation sqref="G1 G3 G4 G5:G1048547" showDropDown="0" showInputMessage="1" showErrorMessage="1" allowBlank="1" type="list">
      <formula1>寄件方城市</formula1>
    </dataValidation>
    <dataValidation sqref="L1 L3:L1048547" showDropDown="0" showInputMessage="1" showErrorMessage="1" allowBlank="1" type="list">
      <formula1>'元素 Info'!$C$2:$C$5</formula1>
    </dataValidation>
    <dataValidation sqref="C2 D2 E2 G2 H2 I2 J2 L2 M2 N2 P2 Q2 R2 S2 T2 U1:U2 U101:U119 U120:U139 U140:U170 U171:U187 U188:U204 U205:U214 U215:U1048547 V2 W1:AC1 Z2 AB2 AC2 AG1 AG2 AH1:AJ1 AH2 AI2 AJ2 AK1:AL1 AK2 AQ2 AT2" showDropDown="0" showInputMessage="1" showErrorMessage="1" allowBlank="1"/>
    <dataValidation sqref="AQ1 AQ3:AQ1048547" showDropDown="0" showInputMessage="1" showErrorMessage="1" allowBlank="1" type="list">
      <formula1>'元素 Info'!$K$2</formula1>
    </dataValidation>
    <dataValidation sqref="U3 U4:U91 U92:U100" showDropDown="0" showInputMessage="1" showErrorMessage="1" allowBlank="1" type="list">
      <formula1>IF(O3&lt;&gt;"",'元素 Info'!$D$5,'元素 Info'!$D$2:$D$4)</formula1>
    </dataValidation>
    <dataValidation sqref="AT1 AT3:AT1048576" showDropDown="0" showInputMessage="1" showErrorMessage="1" allowBlank="1" type="list">
      <formula1>'元素 Info'!$M$2:$M$4</formula1>
    </dataValidation>
    <dataValidation sqref="AG3 AG4:AG1048547" showDropDown="0" showInputMessage="1" showErrorMessage="1" allowBlank="1" type="list">
      <formula1>'元素 Info'!$I$2:$I$17</formula1>
    </dataValidation>
    <dataValidation sqref="Z3:Z1048547" showDropDown="0" showInputMessage="1" showErrorMessage="1" allowBlank="1" type="list">
      <formula1>'元素 Info'!$E$2:$E$38</formula1>
    </dataValidation>
    <dataValidation sqref="AB3:AB1048547" showDropDown="0" showInputMessage="1" showErrorMessage="1" allowBlank="1" type="list">
      <formula1>'元素 Info'!$F$2:$F$12</formula1>
    </dataValidation>
    <dataValidation sqref="AC3:AC1048547" showDropDown="0" showInputMessage="1" showErrorMessage="1" allowBlank="1" type="list">
      <formula1>'元素 Info'!$G$2:$G$242</formula1>
    </dataValidation>
    <dataValidation sqref="AH3:AH1048547" showDropDown="0" showInputMessage="1" showErrorMessage="1" allowBlank="1" type="list">
      <formula1>'元素 Info'!$H$2:$H$4</formula1>
    </dataValidation>
    <dataValidation sqref="AI3:AI1048547" showDropDown="0" showInputMessage="1" showErrorMessage="1" allowBlank="1" type="list">
      <formula1>'元素 Info'!$J$2:$J$4</formula1>
    </dataValidation>
    <dataValidation sqref="AK3:AK1048576" showDropDown="0" showInputMessage="1" showErrorMessage="1" allowBlank="1" type="list">
      <formula1>'元素 Info'!$L$2:$L$4</formula1>
    </dataValidation>
  </dataValidation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B8"/>
  <sheetViews>
    <sheetView workbookViewId="0">
      <selection activeCell="A9" sqref="A9"/>
    </sheetView>
  </sheetViews>
  <sheetFormatPr baseColWidth="8" defaultColWidth="9" defaultRowHeight="16.5" outlineLevelRow="7"/>
  <cols>
    <col width="20.625" customWidth="1" style="142" min="1" max="1"/>
    <col width="20.625" customWidth="1" style="93" min="2" max="2"/>
    <col width="9" customWidth="1" style="89" min="3" max="16384"/>
  </cols>
  <sheetData>
    <row r="1" ht="30" customHeight="1" s="143">
      <c r="A1" s="4" t="inlineStr">
        <is>
          <t>模板版本
Template Version</t>
        </is>
      </c>
      <c r="B1" s="4" t="inlineStr">
        <is>
          <t>更新時間
Update Date</t>
        </is>
      </c>
    </row>
    <row r="2">
      <c r="A2" s="144" t="inlineStr">
        <is>
          <t>1.0</t>
        </is>
      </c>
      <c r="B2" s="6" t="n">
        <v>45238</v>
      </c>
    </row>
    <row r="3">
      <c r="A3" s="144" t="inlineStr">
        <is>
          <t>1.1</t>
        </is>
      </c>
      <c r="B3" s="6" t="n">
        <v>45322</v>
      </c>
    </row>
    <row r="4">
      <c r="A4" s="93" t="n">
        <v>1.2</v>
      </c>
      <c r="B4" s="6" t="n">
        <v>45714</v>
      </c>
    </row>
    <row r="5">
      <c r="A5" s="93" t="n">
        <v>1.3</v>
      </c>
      <c r="B5" s="6" t="n">
        <v>45771</v>
      </c>
    </row>
    <row r="6">
      <c r="A6" s="93" t="n">
        <v>1.4</v>
      </c>
      <c r="B6" s="6" t="n">
        <v>45812</v>
      </c>
    </row>
    <row r="7">
      <c r="A7" s="93" t="n">
        <v>1.5</v>
      </c>
      <c r="B7" s="6" t="n">
        <v>45919</v>
      </c>
    </row>
    <row r="8">
      <c r="A8" s="93" t="n">
        <v>1.6</v>
      </c>
      <c r="B8" s="6" t="n">
        <v>46052</v>
      </c>
    </row>
  </sheetData>
  <sheetProtection selectLockedCells="0" selectUnlockedCells="0" sheet="1" objects="1" insertRows="1" insertHyperlinks="1" autoFilter="1" scenarios="0" formatColumns="1" deleteColumns="1" insertColumns="1" pivotTables="1" deleteRows="1" formatCells="1" formatRows="1" sort="1"/>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2024-11-22T02:06:00Z</dcterms:created>
  <dcterms:modified xmlns:dcterms="http://purl.org/dc/terms/" xmlns:xsi="http://www.w3.org/2001/XMLSchema-instance" xsi:type="dcterms:W3CDTF">2026-06-18T12:26:06Z</dcterms:modified>
  <cp:lastModifiedBy>Administrator</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2052-11.8.2.12287</vt:lpwstr>
  </property>
  <property name="ICV" fmtid="{D5CDD505-2E9C-101B-9397-08002B2CF9AE}" pid="3">
    <vt:lpwstr xmlns:vt="http://schemas.openxmlformats.org/officeDocument/2006/docPropsVTypes">DD09499F9D694E4194478D6F4D7C71D6</vt:lpwstr>
  </property>
</Properties>
</file>